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code\NN_molecular_communications\Tables\Fig_10_NN_Architectures\"/>
    </mc:Choice>
  </mc:AlternateContent>
  <xr:revisionPtr revIDLastSave="0" documentId="13_ncr:1_{5D855777-6D78-40B6-8ADA-0E88377A455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eferences" sheetId="1" r:id="rId1"/>
    <sheet name="Results" sheetId="3" r:id="rId2"/>
    <sheet name="Categories" sheetId="2" r:id="rId3"/>
  </sheets>
  <definedNames>
    <definedName name="_xlnm._FilterDatabase" localSheetId="0" hidden="1">References!$A$1:$E$68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3" i="3" l="1"/>
  <c r="I55" i="3"/>
  <c r="I47" i="3"/>
  <c r="I39" i="3"/>
  <c r="I31" i="3"/>
  <c r="I23" i="3"/>
  <c r="I15" i="3"/>
  <c r="I7" i="3"/>
  <c r="L59" i="3"/>
  <c r="L58" i="3"/>
  <c r="L57" i="3"/>
  <c r="L56" i="3"/>
  <c r="L55" i="3"/>
  <c r="L54" i="3"/>
  <c r="L53" i="3"/>
  <c r="L52" i="3"/>
  <c r="L51" i="3"/>
  <c r="L50" i="3"/>
  <c r="L49" i="3"/>
  <c r="M35" i="3"/>
  <c r="M34" i="3"/>
  <c r="M33" i="3"/>
  <c r="M32" i="3"/>
  <c r="M31" i="3"/>
  <c r="M30" i="3"/>
  <c r="M29" i="3"/>
  <c r="M28" i="3"/>
  <c r="M27" i="3"/>
  <c r="M26" i="3"/>
  <c r="M25" i="3"/>
  <c r="L1" i="3"/>
  <c r="L11" i="3" s="1"/>
  <c r="L10" i="3"/>
  <c r="L9" i="3"/>
  <c r="L8" i="3"/>
  <c r="L7" i="3"/>
  <c r="L6" i="3"/>
  <c r="L5" i="3"/>
  <c r="L4" i="3"/>
  <c r="L3" i="3"/>
  <c r="L2" i="3"/>
  <c r="C58" i="3"/>
  <c r="D58" i="3"/>
  <c r="E58" i="3"/>
  <c r="F58" i="3"/>
  <c r="G58" i="3"/>
  <c r="C59" i="3"/>
  <c r="D59" i="3"/>
  <c r="E59" i="3"/>
  <c r="F59" i="3"/>
  <c r="G59" i="3"/>
  <c r="C60" i="3"/>
  <c r="D60" i="3"/>
  <c r="E60" i="3"/>
  <c r="F60" i="3"/>
  <c r="G60" i="3"/>
  <c r="C61" i="3"/>
  <c r="D61" i="3"/>
  <c r="E61" i="3"/>
  <c r="F61" i="3"/>
  <c r="G61" i="3"/>
  <c r="C62" i="3"/>
  <c r="D62" i="3"/>
  <c r="E62" i="3"/>
  <c r="F62" i="3"/>
  <c r="G62" i="3"/>
  <c r="C63" i="3"/>
  <c r="D63" i="3"/>
  <c r="E63" i="3"/>
  <c r="F63" i="3"/>
  <c r="G63" i="3"/>
  <c r="B59" i="3"/>
  <c r="B60" i="3"/>
  <c r="B61" i="3"/>
  <c r="B62" i="3"/>
  <c r="B63" i="3"/>
  <c r="B58" i="3"/>
  <c r="C50" i="3"/>
  <c r="D50" i="3"/>
  <c r="E50" i="3"/>
  <c r="F50" i="3"/>
  <c r="G50" i="3"/>
  <c r="C51" i="3"/>
  <c r="D51" i="3"/>
  <c r="E51" i="3"/>
  <c r="F51" i="3"/>
  <c r="G51" i="3"/>
  <c r="C52" i="3"/>
  <c r="D52" i="3"/>
  <c r="E52" i="3"/>
  <c r="F52" i="3"/>
  <c r="G52" i="3"/>
  <c r="C53" i="3"/>
  <c r="D53" i="3"/>
  <c r="E53" i="3"/>
  <c r="F53" i="3"/>
  <c r="G53" i="3"/>
  <c r="C54" i="3"/>
  <c r="D54" i="3"/>
  <c r="E54" i="3"/>
  <c r="F54" i="3"/>
  <c r="G54" i="3"/>
  <c r="C55" i="3"/>
  <c r="D55" i="3"/>
  <c r="E55" i="3"/>
  <c r="F55" i="3"/>
  <c r="G55" i="3"/>
  <c r="B51" i="3"/>
  <c r="B52" i="3"/>
  <c r="B53" i="3"/>
  <c r="B54" i="3"/>
  <c r="B55" i="3"/>
  <c r="B50" i="3"/>
  <c r="C42" i="3"/>
  <c r="D42" i="3"/>
  <c r="E42" i="3"/>
  <c r="F42" i="3"/>
  <c r="G42" i="3"/>
  <c r="C43" i="3"/>
  <c r="D43" i="3"/>
  <c r="E43" i="3"/>
  <c r="F43" i="3"/>
  <c r="G43" i="3"/>
  <c r="C44" i="3"/>
  <c r="D44" i="3"/>
  <c r="E44" i="3"/>
  <c r="F44" i="3"/>
  <c r="G44" i="3"/>
  <c r="C45" i="3"/>
  <c r="D45" i="3"/>
  <c r="E45" i="3"/>
  <c r="F45" i="3"/>
  <c r="G45" i="3"/>
  <c r="C46" i="3"/>
  <c r="D46" i="3"/>
  <c r="E46" i="3"/>
  <c r="F46" i="3"/>
  <c r="G46" i="3"/>
  <c r="C47" i="3"/>
  <c r="D47" i="3"/>
  <c r="E47" i="3"/>
  <c r="F47" i="3"/>
  <c r="G47" i="3"/>
  <c r="B43" i="3"/>
  <c r="B44" i="3"/>
  <c r="B45" i="3"/>
  <c r="B46" i="3"/>
  <c r="B47" i="3"/>
  <c r="B42" i="3"/>
  <c r="C34" i="3"/>
  <c r="D34" i="3"/>
  <c r="E34" i="3"/>
  <c r="F34" i="3"/>
  <c r="G34" i="3"/>
  <c r="C35" i="3"/>
  <c r="D35" i="3"/>
  <c r="E35" i="3"/>
  <c r="F35" i="3"/>
  <c r="G35" i="3"/>
  <c r="C36" i="3"/>
  <c r="D36" i="3"/>
  <c r="E36" i="3"/>
  <c r="F36" i="3"/>
  <c r="G36" i="3"/>
  <c r="C37" i="3"/>
  <c r="D37" i="3"/>
  <c r="E37" i="3"/>
  <c r="F37" i="3"/>
  <c r="G37" i="3"/>
  <c r="C38" i="3"/>
  <c r="D38" i="3"/>
  <c r="E38" i="3"/>
  <c r="F38" i="3"/>
  <c r="G38" i="3"/>
  <c r="C39" i="3"/>
  <c r="D39" i="3"/>
  <c r="E39" i="3"/>
  <c r="F39" i="3"/>
  <c r="G39" i="3"/>
  <c r="B35" i="3"/>
  <c r="B36" i="3"/>
  <c r="B37" i="3"/>
  <c r="B38" i="3"/>
  <c r="B39" i="3"/>
  <c r="B34" i="3"/>
  <c r="C26" i="3"/>
  <c r="D26" i="3"/>
  <c r="E26" i="3"/>
  <c r="F26" i="3"/>
  <c r="G26" i="3"/>
  <c r="C27" i="3"/>
  <c r="D27" i="3"/>
  <c r="E27" i="3"/>
  <c r="F27" i="3"/>
  <c r="G27" i="3"/>
  <c r="C28" i="3"/>
  <c r="D28" i="3"/>
  <c r="E28" i="3"/>
  <c r="F28" i="3"/>
  <c r="G28" i="3"/>
  <c r="C29" i="3"/>
  <c r="D29" i="3"/>
  <c r="E29" i="3"/>
  <c r="F29" i="3"/>
  <c r="G29" i="3"/>
  <c r="C30" i="3"/>
  <c r="D30" i="3"/>
  <c r="E30" i="3"/>
  <c r="F30" i="3"/>
  <c r="G30" i="3"/>
  <c r="C31" i="3"/>
  <c r="D31" i="3"/>
  <c r="E31" i="3"/>
  <c r="F31" i="3"/>
  <c r="G31" i="3"/>
  <c r="B27" i="3"/>
  <c r="B28" i="3"/>
  <c r="B29" i="3"/>
  <c r="B30" i="3"/>
  <c r="B31" i="3"/>
  <c r="B26" i="3"/>
  <c r="C18" i="3"/>
  <c r="D18" i="3"/>
  <c r="E18" i="3"/>
  <c r="F18" i="3"/>
  <c r="G18" i="3"/>
  <c r="C19" i="3"/>
  <c r="D19" i="3"/>
  <c r="E19" i="3"/>
  <c r="F19" i="3"/>
  <c r="G19" i="3"/>
  <c r="C20" i="3"/>
  <c r="D20" i="3"/>
  <c r="E20" i="3"/>
  <c r="F20" i="3"/>
  <c r="G20" i="3"/>
  <c r="C21" i="3"/>
  <c r="D21" i="3"/>
  <c r="E21" i="3"/>
  <c r="F21" i="3"/>
  <c r="G21" i="3"/>
  <c r="C22" i="3"/>
  <c r="D22" i="3"/>
  <c r="E22" i="3"/>
  <c r="F22" i="3"/>
  <c r="G22" i="3"/>
  <c r="C23" i="3"/>
  <c r="D23" i="3"/>
  <c r="E23" i="3"/>
  <c r="F23" i="3"/>
  <c r="G23" i="3"/>
  <c r="B19" i="3"/>
  <c r="B20" i="3"/>
  <c r="B21" i="3"/>
  <c r="B22" i="3"/>
  <c r="B23" i="3"/>
  <c r="B18" i="3"/>
  <c r="C10" i="3"/>
  <c r="D10" i="3"/>
  <c r="E10" i="3"/>
  <c r="F10" i="3"/>
  <c r="G10" i="3"/>
  <c r="C11" i="3"/>
  <c r="D11" i="3"/>
  <c r="E11" i="3"/>
  <c r="F11" i="3"/>
  <c r="G11" i="3"/>
  <c r="C12" i="3"/>
  <c r="D12" i="3"/>
  <c r="E12" i="3"/>
  <c r="F12" i="3"/>
  <c r="G12" i="3"/>
  <c r="C13" i="3"/>
  <c r="D13" i="3"/>
  <c r="E13" i="3"/>
  <c r="F13" i="3"/>
  <c r="G13" i="3"/>
  <c r="C14" i="3"/>
  <c r="D14" i="3"/>
  <c r="E14" i="3"/>
  <c r="F14" i="3"/>
  <c r="G14" i="3"/>
  <c r="C15" i="3"/>
  <c r="D15" i="3"/>
  <c r="E15" i="3"/>
  <c r="F15" i="3"/>
  <c r="G15" i="3"/>
  <c r="B10" i="3"/>
  <c r="B11" i="3"/>
  <c r="B12" i="3"/>
  <c r="B13" i="3"/>
  <c r="B14" i="3"/>
  <c r="B15" i="3"/>
  <c r="E2" i="3"/>
  <c r="F2" i="3"/>
  <c r="G2" i="3"/>
  <c r="E3" i="3"/>
  <c r="F3" i="3"/>
  <c r="G3" i="3"/>
  <c r="E4" i="3"/>
  <c r="F4" i="3"/>
  <c r="G4" i="3"/>
  <c r="E5" i="3"/>
  <c r="F5" i="3"/>
  <c r="G5" i="3"/>
  <c r="E6" i="3"/>
  <c r="F6" i="3"/>
  <c r="G6" i="3"/>
  <c r="E7" i="3"/>
  <c r="F7" i="3"/>
  <c r="G7" i="3"/>
  <c r="D3" i="3"/>
  <c r="D4" i="3"/>
  <c r="D5" i="3"/>
  <c r="D6" i="3"/>
  <c r="D7" i="3"/>
  <c r="D2" i="3"/>
  <c r="B3" i="3"/>
  <c r="B4" i="3"/>
  <c r="B5" i="3"/>
  <c r="B6" i="3"/>
  <c r="B7" i="3"/>
  <c r="B2" i="3"/>
  <c r="C3" i="3"/>
  <c r="C4" i="3"/>
  <c r="C5" i="3"/>
  <c r="C6" i="3"/>
  <c r="C7" i="3"/>
  <c r="C2" i="3"/>
  <c r="G2" i="1"/>
</calcChain>
</file>

<file path=xl/sharedStrings.xml><?xml version="1.0" encoding="utf-8"?>
<sst xmlns="http://schemas.openxmlformats.org/spreadsheetml/2006/main" count="509" uniqueCount="100">
  <si>
    <t>Section</t>
  </si>
  <si>
    <t>Item ID</t>
  </si>
  <si>
    <t>PHY layer</t>
  </si>
  <si>
    <t>mohamed2021biocyber</t>
  </si>
  <si>
    <t>ozdemir2021estimating</t>
  </si>
  <si>
    <t>yilmaz2017machine</t>
  </si>
  <si>
    <t>lee2017machine</t>
  </si>
  <si>
    <t>gulec2020distance</t>
  </si>
  <si>
    <t>ozdemir2024estimating</t>
  </si>
  <si>
    <t>damrath2018array</t>
  </si>
  <si>
    <t>ozbey2024artificial</t>
  </si>
  <si>
    <t>cheng2024channel</t>
  </si>
  <si>
    <t>cheng2025deep</t>
  </si>
  <si>
    <t>debus2024synchronized</t>
  </si>
  <si>
    <t>debus2023reinforcement</t>
  </si>
  <si>
    <t>casaleiro2024synchronisation</t>
  </si>
  <si>
    <t>shrivastava2021scaled</t>
  </si>
  <si>
    <t>alshammri2018adaptive</t>
  </si>
  <si>
    <t>bartunik2022using</t>
  </si>
  <si>
    <t>chen2021selfattention</t>
  </si>
  <si>
    <t>cheng2023signal</t>
  </si>
  <si>
    <t>farsad2018neural</t>
  </si>
  <si>
    <t>farsad2018sliding</t>
  </si>
  <si>
    <t>farsad2018detection</t>
  </si>
  <si>
    <t>qian2018receiver</t>
  </si>
  <si>
    <t>qian2019molecular</t>
  </si>
  <si>
    <t>sharma2020deep</t>
  </si>
  <si>
    <t>shrivastava2021performance</t>
  </si>
  <si>
    <t>sun2020ctbrnn</t>
  </si>
  <si>
    <t>vakilipoor2022hybrid</t>
  </si>
  <si>
    <t>farsad2017detection</t>
  </si>
  <si>
    <t>bai2023temporal</t>
  </si>
  <si>
    <t>koo2020deep</t>
  </si>
  <si>
    <t>lu2023mcformer</t>
  </si>
  <si>
    <t>cheng2024informer</t>
  </si>
  <si>
    <t>baydas2023estimation</t>
  </si>
  <si>
    <t>cheng2024signal</t>
  </si>
  <si>
    <t>bartunik2023artificial</t>
  </si>
  <si>
    <t>kim2023machine</t>
  </si>
  <si>
    <t>kara2022molecular</t>
  </si>
  <si>
    <t>kosanetzki2025demodulation</t>
  </si>
  <si>
    <t>mohamed2019modelbased</t>
  </si>
  <si>
    <t>khanzadeh2023towards</t>
  </si>
  <si>
    <t>angerbauer2023towards</t>
  </si>
  <si>
    <t>khanzadeh2023end</t>
  </si>
  <si>
    <t>angerbauer2023salinitybased</t>
  </si>
  <si>
    <t>khanzadeh2024explainable</t>
  </si>
  <si>
    <t>cheng2023channel</t>
  </si>
  <si>
    <t>MAC layer</t>
  </si>
  <si>
    <t>cheng2024resource</t>
  </si>
  <si>
    <t>Upper layers</t>
  </si>
  <si>
    <t>kose2020machine</t>
  </si>
  <si>
    <t>solak2020rnn</t>
  </si>
  <si>
    <t>solak2020neural</t>
  </si>
  <si>
    <t>mai2017event</t>
  </si>
  <si>
    <t>khanzadeh2024ql-based</t>
  </si>
  <si>
    <t>jin2024transformerbased</t>
  </si>
  <si>
    <t>cheng2025localizing</t>
  </si>
  <si>
    <t>NN Architecture</t>
  </si>
  <si>
    <t>MC Scenario</t>
  </si>
  <si>
    <t>NN Architectures</t>
  </si>
  <si>
    <t>CNN</t>
  </si>
  <si>
    <t>RNN</t>
  </si>
  <si>
    <t>BiRNN</t>
  </si>
  <si>
    <t>Autoencoder</t>
  </si>
  <si>
    <t>Transformer</t>
  </si>
  <si>
    <t>Reinforcement Learning</t>
  </si>
  <si>
    <t>Drifted channels</t>
  </si>
  <si>
    <t>Human vessels</t>
  </si>
  <si>
    <t>Open air</t>
  </si>
  <si>
    <t>in-vivo bacteria colony</t>
  </si>
  <si>
    <t>IoBNT layer</t>
  </si>
  <si>
    <t>Channel Estimation</t>
  </si>
  <si>
    <t>Synch.</t>
  </si>
  <si>
    <t>Data Comm.</t>
  </si>
  <si>
    <t>Data Fusion</t>
  </si>
  <si>
    <t>Localization</t>
  </si>
  <si>
    <t>Channel estimation</t>
  </si>
  <si>
    <t>Feedforward NN</t>
  </si>
  <si>
    <t>Vessel-like channels</t>
  </si>
  <si>
    <t>Free diffusion channels</t>
  </si>
  <si>
    <t>Channel Access</t>
  </si>
  <si>
    <t>torres-gomez2022nanosensor2</t>
  </si>
  <si>
    <t>torres-gomez2024dna-based</t>
  </si>
  <si>
    <t>galvan2024tailoring</t>
  </si>
  <si>
    <t>calvobartra2024graph</t>
  </si>
  <si>
    <t>hube2025set</t>
  </si>
  <si>
    <t>Graph Neural Networks</t>
  </si>
  <si>
    <t>Area max</t>
  </si>
  <si>
    <t>Diam. P1</t>
  </si>
  <si>
    <t>Diam. P2</t>
  </si>
  <si>
    <t>Diam. P3</t>
  </si>
  <si>
    <t>Diam. P4</t>
  </si>
  <si>
    <t>Diam. P5</t>
  </si>
  <si>
    <t>Diam. P6</t>
  </si>
  <si>
    <t>Diam. P7</t>
  </si>
  <si>
    <t>Diam. P8</t>
  </si>
  <si>
    <t>Diam. P9</t>
  </si>
  <si>
    <t>Diam. P10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</si>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</sst>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rgb="FFFF99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top"/>
    </xf>
    <xf numFmtId="0" fontId="1" fillId="3" borderId="0" xfId="0" applyFont="1" applyFill="1"/>
    <xf numFmtId="0" fontId="1" fillId="0" borderId="0" xfId="0" applyFont="1"/>
    <xf numFmtId="0" fontId="2" fillId="0" borderId="0" xfId="0" applyFont="1"/>
    <xf numFmtId="0" fontId="1" fillId="4" borderId="0" xfId="0" applyFont="1" applyFill="1"/>
    <xf numFmtId="0" fontId="2" fillId="2" borderId="0" xfId="0" applyFont="1" applyFill="1"/>
    <xf numFmtId="0" fontId="3" fillId="0" borderId="0" xfId="0" applyFont="1" applyAlignment="1">
      <alignment vertical="center"/>
    </xf>
    <xf numFmtId="0" fontId="3" fillId="0" borderId="0" xfId="0" applyFont="1" applyAlignment="1">
      <alignment wrapText="1"/>
    </xf>
    <xf numFmtId="0" fontId="0" fillId="0" borderId="1" xfId="0" applyBorder="1"/>
    <xf numFmtId="0" fontId="1" fillId="5" borderId="1" xfId="0" applyFont="1" applyFill="1" applyBorder="1"/>
    <xf numFmtId="0" fontId="1" fillId="5" borderId="2" xfId="0" applyFont="1" applyFill="1" applyBorder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8"/>
  <sheetViews>
    <sheetView tabSelected="1" topLeftCell="B1" zoomScale="145" zoomScaleNormal="145" workbookViewId="0">
      <pane ySplit="1" topLeftCell="A57" activePane="bottomLeft" state="frozen"/>
      <selection pane="bottomLeft" activeCell="C68" sqref="C68"/>
    </sheetView>
  </sheetViews>
  <sheetFormatPr defaultRowHeight="14" x14ac:dyDescent="0.3"/>
  <cols>
    <col min="1" max="1" width="11.90625" style="3" bestFit="1" customWidth="1"/>
    <col min="2" max="2" width="27" style="3" bestFit="1" customWidth="1"/>
    <col min="3" max="3" width="22.08984375" style="3" bestFit="1" customWidth="1"/>
    <col min="4" max="4" width="22.1796875" style="3" bestFit="1" customWidth="1"/>
    <col min="5" max="5" width="17.7265625" style="3" bestFit="1" customWidth="1"/>
    <col min="6" max="16384" width="8.7265625" style="3"/>
  </cols>
  <sheetData>
    <row r="1" spans="1:7" x14ac:dyDescent="0.3">
      <c r="A1" s="2" t="s">
        <v>0</v>
      </c>
      <c r="B1" s="2" t="s">
        <v>1</v>
      </c>
      <c r="C1" s="5" t="s">
        <v>58</v>
      </c>
      <c r="D1" s="5" t="s">
        <v>59</v>
      </c>
      <c r="E1" s="5" t="s">
        <v>71</v>
      </c>
    </row>
    <row r="2" spans="1:7" x14ac:dyDescent="0.3">
      <c r="A2" s="1" t="s">
        <v>2</v>
      </c>
      <c r="B2" s="3" t="s">
        <v>3</v>
      </c>
      <c r="C2" s="3" t="s">
        <v>78</v>
      </c>
      <c r="D2" s="3" t="s">
        <v>68</v>
      </c>
      <c r="E2" s="3" t="s">
        <v>77</v>
      </c>
      <c r="G2" s="3">
        <f>COUNTIF(C2:C68,Categories!A2)</f>
        <v>27</v>
      </c>
    </row>
    <row r="3" spans="1:7" x14ac:dyDescent="0.3">
      <c r="A3" s="1" t="s">
        <v>2</v>
      </c>
      <c r="B3" s="3" t="s">
        <v>4</v>
      </c>
      <c r="C3" s="3" t="s">
        <v>61</v>
      </c>
      <c r="D3" s="3" t="s">
        <v>80</v>
      </c>
      <c r="E3" s="3" t="s">
        <v>77</v>
      </c>
    </row>
    <row r="4" spans="1:7" x14ac:dyDescent="0.3">
      <c r="A4" s="1" t="s">
        <v>2</v>
      </c>
      <c r="B4" s="4" t="s">
        <v>5</v>
      </c>
      <c r="C4" s="3" t="s">
        <v>78</v>
      </c>
      <c r="D4" s="3" t="s">
        <v>80</v>
      </c>
      <c r="E4" s="3" t="s">
        <v>77</v>
      </c>
    </row>
    <row r="5" spans="1:7" x14ac:dyDescent="0.3">
      <c r="A5" s="1" t="s">
        <v>2</v>
      </c>
      <c r="B5" s="4" t="s">
        <v>6</v>
      </c>
      <c r="C5" s="3" t="s">
        <v>78</v>
      </c>
      <c r="D5" s="3" t="s">
        <v>80</v>
      </c>
      <c r="E5" s="3" t="s">
        <v>77</v>
      </c>
    </row>
    <row r="6" spans="1:7" x14ac:dyDescent="0.3">
      <c r="A6" s="1" t="s">
        <v>2</v>
      </c>
      <c r="B6" s="4" t="s">
        <v>7</v>
      </c>
      <c r="C6" s="3" t="s">
        <v>78</v>
      </c>
      <c r="D6" s="3" t="s">
        <v>69</v>
      </c>
      <c r="E6" s="3" t="s">
        <v>77</v>
      </c>
    </row>
    <row r="7" spans="1:7" x14ac:dyDescent="0.3">
      <c r="A7" s="1" t="s">
        <v>2</v>
      </c>
      <c r="B7" s="4" t="s">
        <v>8</v>
      </c>
      <c r="C7" s="3" t="s">
        <v>65</v>
      </c>
      <c r="D7" s="3" t="s">
        <v>80</v>
      </c>
      <c r="E7" s="3" t="s">
        <v>77</v>
      </c>
    </row>
    <row r="8" spans="1:7" x14ac:dyDescent="0.3">
      <c r="A8" s="1" t="s">
        <v>2</v>
      </c>
      <c r="B8" s="3" t="s">
        <v>9</v>
      </c>
      <c r="C8" s="3" t="s">
        <v>78</v>
      </c>
      <c r="D8" s="3" t="s">
        <v>80</v>
      </c>
      <c r="E8" s="3" t="s">
        <v>77</v>
      </c>
    </row>
    <row r="9" spans="1:7" x14ac:dyDescent="0.3">
      <c r="A9" s="1" t="s">
        <v>2</v>
      </c>
      <c r="B9" s="4" t="s">
        <v>10</v>
      </c>
      <c r="C9" s="3" t="s">
        <v>78</v>
      </c>
      <c r="D9" s="3" t="s">
        <v>80</v>
      </c>
      <c r="E9" s="3" t="s">
        <v>77</v>
      </c>
    </row>
    <row r="10" spans="1:7" x14ac:dyDescent="0.3">
      <c r="A10" s="1" t="s">
        <v>2</v>
      </c>
      <c r="B10" s="3" t="s">
        <v>11</v>
      </c>
      <c r="C10" s="3" t="s">
        <v>78</v>
      </c>
      <c r="D10" s="3" t="s">
        <v>80</v>
      </c>
      <c r="E10" s="3" t="s">
        <v>77</v>
      </c>
    </row>
    <row r="11" spans="1:7" x14ac:dyDescent="0.3">
      <c r="A11" s="1" t="s">
        <v>2</v>
      </c>
      <c r="B11" s="4" t="s">
        <v>12</v>
      </c>
      <c r="C11" s="3" t="s">
        <v>65</v>
      </c>
      <c r="D11" s="3" t="s">
        <v>80</v>
      </c>
      <c r="E11" s="3" t="s">
        <v>77</v>
      </c>
    </row>
    <row r="12" spans="1:7" x14ac:dyDescent="0.3">
      <c r="A12" s="1" t="s">
        <v>2</v>
      </c>
      <c r="B12" s="3" t="s">
        <v>13</v>
      </c>
      <c r="C12" s="3" t="s">
        <v>66</v>
      </c>
      <c r="D12" s="3" t="s">
        <v>69</v>
      </c>
      <c r="E12" s="3" t="s">
        <v>73</v>
      </c>
    </row>
    <row r="13" spans="1:7" x14ac:dyDescent="0.3">
      <c r="A13" s="1" t="s">
        <v>2</v>
      </c>
      <c r="B13" s="3" t="s">
        <v>14</v>
      </c>
      <c r="C13" s="3" t="s">
        <v>66</v>
      </c>
      <c r="D13" s="3" t="s">
        <v>69</v>
      </c>
      <c r="E13" s="3" t="s">
        <v>73</v>
      </c>
    </row>
    <row r="14" spans="1:7" x14ac:dyDescent="0.3">
      <c r="A14" s="1" t="s">
        <v>2</v>
      </c>
      <c r="B14" s="3" t="s">
        <v>15</v>
      </c>
      <c r="C14" s="3" t="s">
        <v>61</v>
      </c>
      <c r="D14" s="3" t="s">
        <v>80</v>
      </c>
      <c r="E14" s="3" t="s">
        <v>73</v>
      </c>
    </row>
    <row r="15" spans="1:7" x14ac:dyDescent="0.3">
      <c r="A15" s="1" t="s">
        <v>2</v>
      </c>
      <c r="B15" s="3" t="s">
        <v>15</v>
      </c>
      <c r="C15" s="3" t="s">
        <v>62</v>
      </c>
      <c r="D15" s="3" t="s">
        <v>80</v>
      </c>
      <c r="E15" s="3" t="s">
        <v>73</v>
      </c>
    </row>
    <row r="16" spans="1:7" x14ac:dyDescent="0.3">
      <c r="A16" s="1" t="s">
        <v>2</v>
      </c>
      <c r="B16" s="4" t="s">
        <v>16</v>
      </c>
      <c r="C16" s="3" t="s">
        <v>78</v>
      </c>
      <c r="D16" s="3" t="s">
        <v>80</v>
      </c>
      <c r="E16" s="3" t="s">
        <v>74</v>
      </c>
    </row>
    <row r="17" spans="1:5" x14ac:dyDescent="0.3">
      <c r="A17" s="1" t="s">
        <v>2</v>
      </c>
      <c r="B17" s="4" t="s">
        <v>17</v>
      </c>
      <c r="C17" s="3" t="s">
        <v>78</v>
      </c>
      <c r="D17" s="3" t="s">
        <v>80</v>
      </c>
      <c r="E17" s="3" t="s">
        <v>74</v>
      </c>
    </row>
    <row r="18" spans="1:5" x14ac:dyDescent="0.3">
      <c r="A18" s="1" t="s">
        <v>2</v>
      </c>
      <c r="B18" s="4" t="s">
        <v>18</v>
      </c>
      <c r="C18" s="3" t="s">
        <v>61</v>
      </c>
      <c r="D18" s="3" t="s">
        <v>79</v>
      </c>
      <c r="E18" s="3" t="s">
        <v>74</v>
      </c>
    </row>
    <row r="19" spans="1:5" x14ac:dyDescent="0.3">
      <c r="A19" s="1" t="s">
        <v>2</v>
      </c>
      <c r="B19" s="4" t="s">
        <v>19</v>
      </c>
      <c r="C19" s="3" t="s">
        <v>65</v>
      </c>
      <c r="D19" s="3" t="s">
        <v>79</v>
      </c>
      <c r="E19" s="3" t="s">
        <v>74</v>
      </c>
    </row>
    <row r="20" spans="1:5" x14ac:dyDescent="0.3">
      <c r="A20" s="1" t="s">
        <v>2</v>
      </c>
      <c r="B20" s="4" t="s">
        <v>20</v>
      </c>
      <c r="C20" s="3" t="s">
        <v>65</v>
      </c>
      <c r="D20" s="3" t="s">
        <v>80</v>
      </c>
      <c r="E20" s="3" t="s">
        <v>74</v>
      </c>
    </row>
    <row r="21" spans="1:5" x14ac:dyDescent="0.3">
      <c r="A21" s="1" t="s">
        <v>2</v>
      </c>
      <c r="B21" s="4" t="s">
        <v>21</v>
      </c>
      <c r="C21" s="3" t="s">
        <v>63</v>
      </c>
      <c r="D21" s="3" t="s">
        <v>79</v>
      </c>
      <c r="E21" s="3" t="s">
        <v>74</v>
      </c>
    </row>
    <row r="22" spans="1:5" x14ac:dyDescent="0.3">
      <c r="A22" s="1" t="s">
        <v>2</v>
      </c>
      <c r="B22" s="4" t="s">
        <v>21</v>
      </c>
      <c r="C22" s="3" t="s">
        <v>78</v>
      </c>
      <c r="D22" s="3" t="s">
        <v>79</v>
      </c>
      <c r="E22" s="3" t="s">
        <v>74</v>
      </c>
    </row>
    <row r="23" spans="1:5" x14ac:dyDescent="0.3">
      <c r="A23" s="1" t="s">
        <v>2</v>
      </c>
      <c r="B23" s="4" t="s">
        <v>22</v>
      </c>
      <c r="C23" s="3" t="s">
        <v>63</v>
      </c>
      <c r="D23" s="3" t="s">
        <v>79</v>
      </c>
      <c r="E23" s="3" t="s">
        <v>74</v>
      </c>
    </row>
    <row r="24" spans="1:5" x14ac:dyDescent="0.3">
      <c r="A24" s="1" t="s">
        <v>2</v>
      </c>
      <c r="B24" s="4" t="s">
        <v>23</v>
      </c>
      <c r="C24" s="3" t="s">
        <v>78</v>
      </c>
      <c r="D24" s="3" t="s">
        <v>80</v>
      </c>
      <c r="E24" s="3" t="s">
        <v>74</v>
      </c>
    </row>
    <row r="25" spans="1:5" x14ac:dyDescent="0.3">
      <c r="A25" s="1" t="s">
        <v>2</v>
      </c>
      <c r="B25" s="4" t="s">
        <v>23</v>
      </c>
      <c r="C25" s="3" t="s">
        <v>63</v>
      </c>
      <c r="D25" s="3" t="s">
        <v>80</v>
      </c>
      <c r="E25" s="3" t="s">
        <v>74</v>
      </c>
    </row>
    <row r="26" spans="1:5" x14ac:dyDescent="0.3">
      <c r="A26" s="1" t="s">
        <v>2</v>
      </c>
      <c r="B26" s="4" t="s">
        <v>24</v>
      </c>
      <c r="C26" s="3" t="s">
        <v>78</v>
      </c>
      <c r="D26" s="3" t="s">
        <v>80</v>
      </c>
      <c r="E26" s="3" t="s">
        <v>74</v>
      </c>
    </row>
    <row r="27" spans="1:5" x14ac:dyDescent="0.3">
      <c r="A27" s="1" t="s">
        <v>2</v>
      </c>
      <c r="B27" s="4" t="s">
        <v>25</v>
      </c>
      <c r="C27" s="3" t="s">
        <v>78</v>
      </c>
      <c r="D27" s="3" t="s">
        <v>80</v>
      </c>
      <c r="E27" s="3" t="s">
        <v>74</v>
      </c>
    </row>
    <row r="28" spans="1:5" x14ac:dyDescent="0.3">
      <c r="A28" s="1" t="s">
        <v>2</v>
      </c>
      <c r="B28" s="4" t="s">
        <v>26</v>
      </c>
      <c r="C28" s="3" t="s">
        <v>78</v>
      </c>
      <c r="D28" s="3" t="s">
        <v>80</v>
      </c>
      <c r="E28" s="3" t="s">
        <v>74</v>
      </c>
    </row>
    <row r="29" spans="1:5" x14ac:dyDescent="0.3">
      <c r="A29" s="1" t="s">
        <v>2</v>
      </c>
      <c r="B29" s="4" t="s">
        <v>27</v>
      </c>
      <c r="C29" s="3" t="s">
        <v>78</v>
      </c>
      <c r="D29" s="3" t="s">
        <v>80</v>
      </c>
      <c r="E29" s="3" t="s">
        <v>74</v>
      </c>
    </row>
    <row r="30" spans="1:5" x14ac:dyDescent="0.3">
      <c r="A30" s="1" t="s">
        <v>2</v>
      </c>
      <c r="B30" s="4" t="s">
        <v>16</v>
      </c>
      <c r="C30" s="3" t="s">
        <v>78</v>
      </c>
      <c r="D30" s="3" t="s">
        <v>80</v>
      </c>
      <c r="E30" s="3" t="s">
        <v>74</v>
      </c>
    </row>
    <row r="31" spans="1:5" x14ac:dyDescent="0.3">
      <c r="A31" s="1" t="s">
        <v>2</v>
      </c>
      <c r="B31" s="4" t="s">
        <v>28</v>
      </c>
      <c r="C31" s="3" t="s">
        <v>63</v>
      </c>
      <c r="D31" s="3" t="s">
        <v>79</v>
      </c>
      <c r="E31" s="3" t="s">
        <v>74</v>
      </c>
    </row>
    <row r="32" spans="1:5" x14ac:dyDescent="0.3">
      <c r="A32" s="1" t="s">
        <v>2</v>
      </c>
      <c r="B32" s="4" t="s">
        <v>29</v>
      </c>
      <c r="C32" s="3" t="s">
        <v>78</v>
      </c>
      <c r="D32" s="3" t="s">
        <v>70</v>
      </c>
      <c r="E32" s="3" t="s">
        <v>74</v>
      </c>
    </row>
    <row r="33" spans="1:5" x14ac:dyDescent="0.3">
      <c r="A33" s="1" t="s">
        <v>2</v>
      </c>
      <c r="B33" s="4" t="s">
        <v>30</v>
      </c>
      <c r="C33" s="3" t="s">
        <v>78</v>
      </c>
      <c r="D33" s="3" t="s">
        <v>79</v>
      </c>
      <c r="E33" s="3" t="s">
        <v>74</v>
      </c>
    </row>
    <row r="34" spans="1:5" x14ac:dyDescent="0.3">
      <c r="A34" s="1" t="s">
        <v>2</v>
      </c>
      <c r="B34" s="4" t="s">
        <v>30</v>
      </c>
      <c r="C34" s="3" t="s">
        <v>61</v>
      </c>
      <c r="D34" s="3" t="s">
        <v>79</v>
      </c>
      <c r="E34" s="3" t="s">
        <v>74</v>
      </c>
    </row>
    <row r="35" spans="1:5" x14ac:dyDescent="0.3">
      <c r="A35" s="1" t="s">
        <v>2</v>
      </c>
      <c r="B35" s="4" t="s">
        <v>30</v>
      </c>
      <c r="C35" s="3" t="s">
        <v>62</v>
      </c>
      <c r="D35" s="3" t="s">
        <v>79</v>
      </c>
      <c r="E35" s="3" t="s">
        <v>74</v>
      </c>
    </row>
    <row r="36" spans="1:5" x14ac:dyDescent="0.3">
      <c r="A36" s="1" t="s">
        <v>2</v>
      </c>
      <c r="B36" s="4" t="s">
        <v>30</v>
      </c>
      <c r="C36" s="3" t="s">
        <v>63</v>
      </c>
      <c r="D36" s="3" t="s">
        <v>79</v>
      </c>
      <c r="E36" s="3" t="s">
        <v>74</v>
      </c>
    </row>
    <row r="37" spans="1:5" x14ac:dyDescent="0.3">
      <c r="A37" s="1" t="s">
        <v>2</v>
      </c>
      <c r="B37" s="4" t="s">
        <v>31</v>
      </c>
      <c r="C37" s="3" t="s">
        <v>78</v>
      </c>
      <c r="D37" s="3" t="s">
        <v>70</v>
      </c>
      <c r="E37" s="3" t="s">
        <v>74</v>
      </c>
    </row>
    <row r="38" spans="1:5" x14ac:dyDescent="0.3">
      <c r="A38" s="1" t="s">
        <v>2</v>
      </c>
      <c r="B38" s="4" t="s">
        <v>31</v>
      </c>
      <c r="C38" s="3" t="s">
        <v>61</v>
      </c>
      <c r="D38" s="3" t="s">
        <v>70</v>
      </c>
      <c r="E38" s="3" t="s">
        <v>74</v>
      </c>
    </row>
    <row r="39" spans="1:5" x14ac:dyDescent="0.3">
      <c r="A39" s="1" t="s">
        <v>2</v>
      </c>
      <c r="B39" s="4" t="s">
        <v>32</v>
      </c>
      <c r="C39" s="3" t="s">
        <v>78</v>
      </c>
      <c r="D39" s="3" t="s">
        <v>79</v>
      </c>
      <c r="E39" s="3" t="s">
        <v>74</v>
      </c>
    </row>
    <row r="40" spans="1:5" x14ac:dyDescent="0.3">
      <c r="A40" s="1" t="s">
        <v>2</v>
      </c>
      <c r="B40" s="4" t="s">
        <v>33</v>
      </c>
      <c r="C40" s="3" t="s">
        <v>65</v>
      </c>
      <c r="D40" s="3" t="s">
        <v>80</v>
      </c>
      <c r="E40" s="3" t="s">
        <v>74</v>
      </c>
    </row>
    <row r="41" spans="1:5" x14ac:dyDescent="0.3">
      <c r="A41" s="1" t="s">
        <v>2</v>
      </c>
      <c r="B41" s="4" t="s">
        <v>34</v>
      </c>
      <c r="C41" s="3" t="s">
        <v>65</v>
      </c>
      <c r="D41" s="3" t="s">
        <v>80</v>
      </c>
      <c r="E41" s="3" t="s">
        <v>74</v>
      </c>
    </row>
    <row r="42" spans="1:5" x14ac:dyDescent="0.3">
      <c r="A42" s="1" t="s">
        <v>2</v>
      </c>
      <c r="B42" s="4" t="s">
        <v>35</v>
      </c>
      <c r="C42" s="3" t="s">
        <v>61</v>
      </c>
      <c r="D42" s="3" t="s">
        <v>80</v>
      </c>
      <c r="E42" s="3" t="s">
        <v>74</v>
      </c>
    </row>
    <row r="43" spans="1:5" x14ac:dyDescent="0.3">
      <c r="A43" s="1" t="s">
        <v>2</v>
      </c>
      <c r="B43" s="4" t="s">
        <v>35</v>
      </c>
      <c r="C43" s="3" t="s">
        <v>62</v>
      </c>
      <c r="D43" s="3" t="s">
        <v>80</v>
      </c>
      <c r="E43" s="3" t="s">
        <v>74</v>
      </c>
    </row>
    <row r="44" spans="1:5" x14ac:dyDescent="0.3">
      <c r="A44" s="1" t="s">
        <v>2</v>
      </c>
      <c r="B44" s="4" t="s">
        <v>36</v>
      </c>
      <c r="C44" s="3" t="s">
        <v>65</v>
      </c>
      <c r="D44" s="3" t="s">
        <v>80</v>
      </c>
      <c r="E44" s="3" t="s">
        <v>74</v>
      </c>
    </row>
    <row r="45" spans="1:5" x14ac:dyDescent="0.3">
      <c r="A45" s="1" t="s">
        <v>2</v>
      </c>
      <c r="B45" s="4" t="s">
        <v>37</v>
      </c>
      <c r="C45" s="3" t="s">
        <v>61</v>
      </c>
      <c r="D45" s="3" t="s">
        <v>79</v>
      </c>
      <c r="E45" s="3" t="s">
        <v>74</v>
      </c>
    </row>
    <row r="46" spans="1:5" x14ac:dyDescent="0.3">
      <c r="A46" s="1" t="s">
        <v>2</v>
      </c>
      <c r="B46" s="4" t="s">
        <v>38</v>
      </c>
      <c r="C46" s="3" t="s">
        <v>78</v>
      </c>
      <c r="D46" s="3" t="s">
        <v>80</v>
      </c>
      <c r="E46" s="3" t="s">
        <v>74</v>
      </c>
    </row>
    <row r="47" spans="1:5" x14ac:dyDescent="0.3">
      <c r="A47" s="1" t="s">
        <v>2</v>
      </c>
      <c r="B47" s="4" t="s">
        <v>39</v>
      </c>
      <c r="C47" s="3" t="s">
        <v>61</v>
      </c>
      <c r="D47" s="3" t="s">
        <v>80</v>
      </c>
      <c r="E47" s="3" t="s">
        <v>74</v>
      </c>
    </row>
    <row r="48" spans="1:5" x14ac:dyDescent="0.3">
      <c r="A48" s="1" t="s">
        <v>2</v>
      </c>
      <c r="B48" s="4" t="s">
        <v>40</v>
      </c>
      <c r="C48" s="3" t="s">
        <v>61</v>
      </c>
      <c r="D48" s="3" t="s">
        <v>79</v>
      </c>
      <c r="E48" s="3" t="s">
        <v>74</v>
      </c>
    </row>
    <row r="49" spans="1:5" x14ac:dyDescent="0.3">
      <c r="A49" s="1" t="s">
        <v>2</v>
      </c>
      <c r="B49" s="4" t="s">
        <v>41</v>
      </c>
      <c r="C49" s="3" t="s">
        <v>64</v>
      </c>
      <c r="D49" s="3" t="s">
        <v>80</v>
      </c>
      <c r="E49" s="3" t="s">
        <v>74</v>
      </c>
    </row>
    <row r="50" spans="1:5" x14ac:dyDescent="0.3">
      <c r="A50" s="1" t="s">
        <v>2</v>
      </c>
      <c r="B50" s="4" t="s">
        <v>42</v>
      </c>
      <c r="C50" s="3" t="s">
        <v>64</v>
      </c>
      <c r="D50" s="3" t="s">
        <v>79</v>
      </c>
      <c r="E50" s="3" t="s">
        <v>74</v>
      </c>
    </row>
    <row r="51" spans="1:5" x14ac:dyDescent="0.3">
      <c r="A51" s="1" t="s">
        <v>2</v>
      </c>
      <c r="B51" s="4" t="s">
        <v>43</v>
      </c>
      <c r="C51" s="3" t="s">
        <v>64</v>
      </c>
      <c r="D51" s="3" t="s">
        <v>67</v>
      </c>
      <c r="E51" s="3" t="s">
        <v>74</v>
      </c>
    </row>
    <row r="52" spans="1:5" x14ac:dyDescent="0.3">
      <c r="A52" s="1" t="s">
        <v>2</v>
      </c>
      <c r="B52" s="4" t="s">
        <v>44</v>
      </c>
      <c r="C52" s="3" t="s">
        <v>64</v>
      </c>
      <c r="D52" s="3" t="s">
        <v>67</v>
      </c>
      <c r="E52" s="3" t="s">
        <v>74</v>
      </c>
    </row>
    <row r="53" spans="1:5" x14ac:dyDescent="0.3">
      <c r="A53" s="1" t="s">
        <v>2</v>
      </c>
      <c r="B53" s="4" t="s">
        <v>45</v>
      </c>
      <c r="C53" s="3" t="s">
        <v>64</v>
      </c>
      <c r="D53" s="3" t="s">
        <v>79</v>
      </c>
      <c r="E53" s="3" t="s">
        <v>74</v>
      </c>
    </row>
    <row r="54" spans="1:5" x14ac:dyDescent="0.3">
      <c r="A54" s="1" t="s">
        <v>2</v>
      </c>
      <c r="B54" s="4" t="s">
        <v>46</v>
      </c>
      <c r="C54" s="3" t="s">
        <v>64</v>
      </c>
      <c r="D54" s="3" t="s">
        <v>67</v>
      </c>
      <c r="E54" s="3" t="s">
        <v>74</v>
      </c>
    </row>
    <row r="55" spans="1:5" x14ac:dyDescent="0.3">
      <c r="A55" s="1" t="s">
        <v>2</v>
      </c>
      <c r="B55" s="3" t="s">
        <v>47</v>
      </c>
      <c r="C55" s="3" t="s">
        <v>78</v>
      </c>
      <c r="D55" s="3" t="s">
        <v>80</v>
      </c>
      <c r="E55" s="3" t="s">
        <v>74</v>
      </c>
    </row>
    <row r="56" spans="1:5" x14ac:dyDescent="0.3">
      <c r="A56" s="1" t="s">
        <v>48</v>
      </c>
      <c r="B56" s="4" t="s">
        <v>49</v>
      </c>
      <c r="C56" s="3" t="s">
        <v>78</v>
      </c>
      <c r="D56" s="3" t="s">
        <v>80</v>
      </c>
      <c r="E56" s="3" t="s">
        <v>81</v>
      </c>
    </row>
    <row r="57" spans="1:5" x14ac:dyDescent="0.3">
      <c r="A57" s="1" t="s">
        <v>50</v>
      </c>
      <c r="B57" s="6" t="s">
        <v>51</v>
      </c>
      <c r="C57" s="3" t="s">
        <v>78</v>
      </c>
      <c r="D57" s="3" t="s">
        <v>80</v>
      </c>
      <c r="E57" s="3" t="s">
        <v>76</v>
      </c>
    </row>
    <row r="58" spans="1:5" x14ac:dyDescent="0.3">
      <c r="A58" s="1" t="s">
        <v>50</v>
      </c>
      <c r="B58" s="6" t="s">
        <v>52</v>
      </c>
      <c r="C58" s="3" t="s">
        <v>62</v>
      </c>
      <c r="D58" s="3" t="s">
        <v>80</v>
      </c>
      <c r="E58" s="3" t="s">
        <v>75</v>
      </c>
    </row>
    <row r="59" spans="1:5" x14ac:dyDescent="0.3">
      <c r="A59" s="1" t="s">
        <v>50</v>
      </c>
      <c r="B59" s="6" t="s">
        <v>53</v>
      </c>
      <c r="C59" s="3" t="s">
        <v>78</v>
      </c>
      <c r="D59" s="3" t="s">
        <v>80</v>
      </c>
      <c r="E59" s="3" t="s">
        <v>75</v>
      </c>
    </row>
    <row r="60" spans="1:5" x14ac:dyDescent="0.3">
      <c r="A60" s="1" t="s">
        <v>50</v>
      </c>
      <c r="B60" s="6" t="s">
        <v>54</v>
      </c>
      <c r="C60" s="3" t="s">
        <v>66</v>
      </c>
      <c r="D60" s="3" t="s">
        <v>80</v>
      </c>
      <c r="E60" s="3" t="s">
        <v>75</v>
      </c>
    </row>
    <row r="61" spans="1:5" x14ac:dyDescent="0.3">
      <c r="A61" s="1" t="s">
        <v>50</v>
      </c>
      <c r="B61" s="6" t="s">
        <v>55</v>
      </c>
      <c r="C61" s="3" t="s">
        <v>66</v>
      </c>
      <c r="D61" s="3" t="s">
        <v>67</v>
      </c>
      <c r="E61" s="3" t="s">
        <v>74</v>
      </c>
    </row>
    <row r="62" spans="1:5" x14ac:dyDescent="0.3">
      <c r="A62" s="1" t="s">
        <v>50</v>
      </c>
      <c r="B62" s="6" t="s">
        <v>56</v>
      </c>
      <c r="C62" s="3" t="s">
        <v>65</v>
      </c>
      <c r="D62" s="3" t="s">
        <v>67</v>
      </c>
      <c r="E62" s="3" t="s">
        <v>76</v>
      </c>
    </row>
    <row r="63" spans="1:5" x14ac:dyDescent="0.3">
      <c r="A63" s="1" t="s">
        <v>50</v>
      </c>
      <c r="B63" s="6" t="s">
        <v>57</v>
      </c>
      <c r="C63" s="3" t="s">
        <v>65</v>
      </c>
      <c r="D63" s="3" t="s">
        <v>80</v>
      </c>
      <c r="E63" s="3" t="s">
        <v>76</v>
      </c>
    </row>
    <row r="64" spans="1:5" x14ac:dyDescent="0.3">
      <c r="A64" s="1" t="s">
        <v>50</v>
      </c>
      <c r="B64" s="7" t="s">
        <v>82</v>
      </c>
      <c r="C64" s="3" t="s">
        <v>78</v>
      </c>
      <c r="D64" s="3" t="s">
        <v>79</v>
      </c>
      <c r="E64" s="3" t="s">
        <v>76</v>
      </c>
    </row>
    <row r="65" spans="1:5" x14ac:dyDescent="0.3">
      <c r="A65" s="1" t="s">
        <v>50</v>
      </c>
      <c r="B65" s="7" t="s">
        <v>83</v>
      </c>
      <c r="C65" s="3" t="s">
        <v>78</v>
      </c>
      <c r="D65" s="3" t="s">
        <v>79</v>
      </c>
      <c r="E65" s="3" t="s">
        <v>76</v>
      </c>
    </row>
    <row r="66" spans="1:5" x14ac:dyDescent="0.3">
      <c r="A66" s="1" t="s">
        <v>50</v>
      </c>
      <c r="B66" s="7" t="s">
        <v>84</v>
      </c>
      <c r="C66" s="3" t="s">
        <v>87</v>
      </c>
      <c r="D66" s="3" t="s">
        <v>79</v>
      </c>
      <c r="E66" s="3" t="s">
        <v>76</v>
      </c>
    </row>
    <row r="67" spans="1:5" x14ac:dyDescent="0.3">
      <c r="A67" s="1" t="s">
        <v>50</v>
      </c>
      <c r="B67" s="7" t="s">
        <v>85</v>
      </c>
      <c r="C67" s="3" t="s">
        <v>87</v>
      </c>
      <c r="D67" s="3" t="s">
        <v>79</v>
      </c>
      <c r="E67" s="3" t="s">
        <v>76</v>
      </c>
    </row>
    <row r="68" spans="1:5" x14ac:dyDescent="0.3">
      <c r="A68" s="1" t="s">
        <v>50</v>
      </c>
      <c r="B68" s="8" t="s">
        <v>86</v>
      </c>
      <c r="C68" s="3" t="s">
        <v>65</v>
      </c>
      <c r="D68" s="3" t="s">
        <v>79</v>
      </c>
      <c r="E68" s="3" t="s">
        <v>76</v>
      </c>
    </row>
  </sheetData>
  <autoFilter ref="A1:E68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63"/>
  <sheetViews>
    <sheetView zoomScale="160" zoomScaleNormal="160" workbookViewId="0">
      <selection activeCell="H63" sqref="H63:I63"/>
    </sheetView>
  </sheetViews>
  <sheetFormatPr defaultRowHeight="14.5" x14ac:dyDescent="0.35"/>
  <cols>
    <col min="1" max="1" width="21.1796875" bestFit="1" customWidth="1"/>
    <col min="2" max="2" width="17.81640625" bestFit="1" customWidth="1"/>
    <col min="3" max="3" width="6.7265625" bestFit="1" customWidth="1"/>
    <col min="4" max="4" width="12" bestFit="1" customWidth="1"/>
    <col min="5" max="5" width="14.90625" bestFit="1" customWidth="1"/>
    <col min="6" max="6" width="11.36328125" bestFit="1" customWidth="1"/>
    <col min="7" max="7" width="11.26953125" bestFit="1" customWidth="1"/>
    <col min="9" max="9" width="9.1796875" bestFit="1" customWidth="1"/>
    <col min="10" max="10" width="9.08984375" bestFit="1" customWidth="1"/>
  </cols>
  <sheetData>
    <row r="1" spans="1:12" x14ac:dyDescent="0.35">
      <c r="A1" s="10" t="s">
        <v>78</v>
      </c>
      <c r="B1" s="10" t="s">
        <v>77</v>
      </c>
      <c r="C1" s="10" t="s">
        <v>73</v>
      </c>
      <c r="D1" s="10" t="s">
        <v>74</v>
      </c>
      <c r="E1" s="10" t="s">
        <v>81</v>
      </c>
      <c r="F1" s="10" t="s">
        <v>75</v>
      </c>
      <c r="G1" s="10" t="s">
        <v>76</v>
      </c>
      <c r="K1" s="11" t="s">
        <v>88</v>
      </c>
      <c r="L1" s="11">
        <f>PI()*(0.2/2)^2</f>
        <v>3.1415926535897934E-2</v>
      </c>
    </row>
    <row r="2" spans="1:12" x14ac:dyDescent="0.35">
      <c r="A2" s="10" t="s">
        <v>70</v>
      </c>
      <c r="B2" s="9">
        <f>COUNTIFS(References!$C$2:$C$68,Results!$A$1,References!$D$2:$D$68,Results!$A2,References!$E$2:$E$68,Results!B$1)</f>
        <v>0</v>
      </c>
      <c r="C2" s="9">
        <f>COUNTIFS(References!$C$2:$C$68,Results!$A$1,References!$D$2:$D$68,Results!$A2,References!$E$2:$E$68,Results!C$1)</f>
        <v>0</v>
      </c>
      <c r="D2" s="9">
        <f>COUNTIFS(References!$C$2:$C$68,Results!$A$1,References!$D$2:$D$68,Results!$A2,References!$E$2:$E$68,Results!D$1)</f>
        <v>2</v>
      </c>
      <c r="E2" s="9">
        <f>COUNTIFS(References!$C$2:$C$68,Results!$A$1,References!$D$2:$D$68,Results!$A2,References!$E$2:$E$68,Results!E$1)</f>
        <v>0</v>
      </c>
      <c r="F2" s="9">
        <f>COUNTIFS(References!$C$2:$C$68,Results!$A$1,References!$D$2:$D$68,Results!$A2,References!$E$2:$E$68,Results!F$1)</f>
        <v>0</v>
      </c>
      <c r="G2" s="9">
        <f>COUNTIFS(References!$C$2:$C$68,Results!$A$1,References!$D$2:$D$68,Results!$A2,References!$E$2:$E$68,Results!G$1)</f>
        <v>0</v>
      </c>
      <c r="K2" t="s">
        <v>89</v>
      </c>
      <c r="L2">
        <f>SQRT($L$1/PI()/10)*2</f>
        <v>6.3245553203367583E-2</v>
      </c>
    </row>
    <row r="3" spans="1:12" x14ac:dyDescent="0.35">
      <c r="A3" s="10" t="s">
        <v>69</v>
      </c>
      <c r="B3" s="9">
        <f>COUNTIFS(References!$C$2:$C$68,Results!$A$1,References!$D$2:$D$68,Results!$A3,References!$E$2:$E$68,Results!B$1)</f>
        <v>1</v>
      </c>
      <c r="C3" s="9">
        <f>COUNTIFS(References!$C$2:$C$68,Results!$A$1,References!$D$2:$D$68,Results!$A3,References!$E$2:$E$68,Results!C$1)</f>
        <v>0</v>
      </c>
      <c r="D3" s="9">
        <f>COUNTIFS(References!$C$2:$C$68,Results!$A$1,References!$D$2:$D$68,Results!$A3,References!$E$2:$E$68,Results!D$1)</f>
        <v>0</v>
      </c>
      <c r="E3" s="9">
        <f>COUNTIFS(References!$C$2:$C$68,Results!$A$1,References!$D$2:$D$68,Results!$A3,References!$E$2:$E$68,Results!E$1)</f>
        <v>0</v>
      </c>
      <c r="F3" s="9">
        <f>COUNTIFS(References!$C$2:$C$68,Results!$A$1,References!$D$2:$D$68,Results!$A3,References!$E$2:$E$68,Results!F$1)</f>
        <v>0</v>
      </c>
      <c r="G3" s="9">
        <f>COUNTIFS(References!$C$2:$C$68,Results!$A$1,References!$D$2:$D$68,Results!$A3,References!$E$2:$E$68,Results!G$1)</f>
        <v>0</v>
      </c>
      <c r="K3" t="s">
        <v>90</v>
      </c>
      <c r="L3">
        <f>SQRT($L$1/PI()/9)*2</f>
        <v>6.6666666666666666E-2</v>
      </c>
    </row>
    <row r="4" spans="1:12" x14ac:dyDescent="0.35">
      <c r="A4" s="10" t="s">
        <v>79</v>
      </c>
      <c r="B4" s="9">
        <f>COUNTIFS(References!$C$2:$C$68,Results!$A$1,References!$D$2:$D$68,Results!$A4,References!$E$2:$E$68,Results!B$1)</f>
        <v>0</v>
      </c>
      <c r="C4" s="9">
        <f>COUNTIFS(References!$C$2:$C$68,Results!$A$1,References!$D$2:$D$68,Results!$A4,References!$E$2:$E$68,Results!C$1)</f>
        <v>0</v>
      </c>
      <c r="D4" s="9">
        <f>COUNTIFS(References!$C$2:$C$68,Results!$A$1,References!$D$2:$D$68,Results!$A4,References!$E$2:$E$68,Results!D$1)</f>
        <v>3</v>
      </c>
      <c r="E4" s="9">
        <f>COUNTIFS(References!$C$2:$C$68,Results!$A$1,References!$D$2:$D$68,Results!$A4,References!$E$2:$E$68,Results!E$1)</f>
        <v>0</v>
      </c>
      <c r="F4" s="9">
        <f>COUNTIFS(References!$C$2:$C$68,Results!$A$1,References!$D$2:$D$68,Results!$A4,References!$E$2:$E$68,Results!F$1)</f>
        <v>0</v>
      </c>
      <c r="G4" s="9">
        <f>COUNTIFS(References!$C$2:$C$68,Results!$A$1,References!$D$2:$D$68,Results!$A4,References!$E$2:$E$68,Results!G$1)</f>
        <v>2</v>
      </c>
      <c r="K4" t="s">
        <v>91</v>
      </c>
      <c r="L4">
        <f>SQRT($L$1/PI()/8)*2</f>
        <v>7.0710678118654752E-2</v>
      </c>
    </row>
    <row r="5" spans="1:12" x14ac:dyDescent="0.35">
      <c r="A5" s="10" t="s">
        <v>68</v>
      </c>
      <c r="B5" s="9">
        <f>COUNTIFS(References!$C$2:$C$68,Results!$A$1,References!$D$2:$D$68,Results!$A5,References!$E$2:$E$68,Results!B$1)</f>
        <v>1</v>
      </c>
      <c r="C5" s="9">
        <f>COUNTIFS(References!$C$2:$C$68,Results!$A$1,References!$D$2:$D$68,Results!$A5,References!$E$2:$E$68,Results!C$1)</f>
        <v>0</v>
      </c>
      <c r="D5" s="9">
        <f>COUNTIFS(References!$C$2:$C$68,Results!$A$1,References!$D$2:$D$68,Results!$A5,References!$E$2:$E$68,Results!D$1)</f>
        <v>0</v>
      </c>
      <c r="E5" s="9">
        <f>COUNTIFS(References!$C$2:$C$68,Results!$A$1,References!$D$2:$D$68,Results!$A5,References!$E$2:$E$68,Results!E$1)</f>
        <v>0</v>
      </c>
      <c r="F5" s="9">
        <f>COUNTIFS(References!$C$2:$C$68,Results!$A$1,References!$D$2:$D$68,Results!$A5,References!$E$2:$E$68,Results!F$1)</f>
        <v>0</v>
      </c>
      <c r="G5" s="9">
        <f>COUNTIFS(References!$C$2:$C$68,Results!$A$1,References!$D$2:$D$68,Results!$A5,References!$E$2:$E$68,Results!G$1)</f>
        <v>0</v>
      </c>
      <c r="K5" t="s">
        <v>92</v>
      </c>
      <c r="L5">
        <f>SQRT($L$1/PI()/7)*2</f>
        <v>7.5592894601845442E-2</v>
      </c>
    </row>
    <row r="6" spans="1:12" x14ac:dyDescent="0.35">
      <c r="A6" s="10" t="s">
        <v>67</v>
      </c>
      <c r="B6" s="9">
        <f>COUNTIFS(References!$C$2:$C$68,Results!$A$1,References!$D$2:$D$68,Results!$A6,References!$E$2:$E$68,Results!B$1)</f>
        <v>0</v>
      </c>
      <c r="C6" s="9">
        <f>COUNTIFS(References!$C$2:$C$68,Results!$A$1,References!$D$2:$D$68,Results!$A6,References!$E$2:$E$68,Results!C$1)</f>
        <v>0</v>
      </c>
      <c r="D6" s="9">
        <f>COUNTIFS(References!$C$2:$C$68,Results!$A$1,References!$D$2:$D$68,Results!$A6,References!$E$2:$E$68,Results!D$1)</f>
        <v>0</v>
      </c>
      <c r="E6" s="9">
        <f>COUNTIFS(References!$C$2:$C$68,Results!$A$1,References!$D$2:$D$68,Results!$A6,References!$E$2:$E$68,Results!E$1)</f>
        <v>0</v>
      </c>
      <c r="F6" s="9">
        <f>COUNTIFS(References!$C$2:$C$68,Results!$A$1,References!$D$2:$D$68,Results!$A6,References!$E$2:$E$68,Results!F$1)</f>
        <v>0</v>
      </c>
      <c r="G6" s="9">
        <f>COUNTIFS(References!$C$2:$C$68,Results!$A$1,References!$D$2:$D$68,Results!$A6,References!$E$2:$E$68,Results!G$1)</f>
        <v>0</v>
      </c>
      <c r="K6" t="s">
        <v>93</v>
      </c>
      <c r="L6">
        <f>SQRT($L$1/PI()/6)*2</f>
        <v>8.1649658092772609E-2</v>
      </c>
    </row>
    <row r="7" spans="1:12" x14ac:dyDescent="0.35">
      <c r="A7" s="10" t="s">
        <v>80</v>
      </c>
      <c r="B7" s="9">
        <f>COUNTIFS(References!$C$2:$C$68,Results!$A$1,References!$D$2:$D$68,Results!$A7,References!$E$2:$E$68,Results!B$1)</f>
        <v>5</v>
      </c>
      <c r="C7" s="9">
        <f>COUNTIFS(References!$C$2:$C$68,Results!$A$1,References!$D$2:$D$68,Results!$A7,References!$E$2:$E$68,Results!C$1)</f>
        <v>0</v>
      </c>
      <c r="D7" s="9">
        <f>COUNTIFS(References!$C$2:$C$68,Results!$A$1,References!$D$2:$D$68,Results!$A7,References!$E$2:$E$68,Results!D$1)</f>
        <v>10</v>
      </c>
      <c r="E7" s="9">
        <f>COUNTIFS(References!$C$2:$C$68,Results!$A$1,References!$D$2:$D$68,Results!$A7,References!$E$2:$E$68,Results!E$1)</f>
        <v>1</v>
      </c>
      <c r="F7" s="9">
        <f>COUNTIFS(References!$C$2:$C$68,Results!$A$1,References!$D$2:$D$68,Results!$A7,References!$E$2:$E$68,Results!F$1)</f>
        <v>1</v>
      </c>
      <c r="G7" s="9">
        <f>COUNTIFS(References!$C$2:$C$68,Results!$A$1,References!$D$2:$D$68,Results!$A7,References!$E$2:$E$68,Results!G$1)</f>
        <v>1</v>
      </c>
      <c r="H7" s="12" t="s">
        <v>99</v>
      </c>
      <c r="I7">
        <f>SUM(B2:G7)</f>
        <v>27</v>
      </c>
      <c r="K7" t="s">
        <v>94</v>
      </c>
      <c r="L7">
        <f>SQRT($L$1/PI()/5)*2</f>
        <v>8.9442719099991588E-2</v>
      </c>
    </row>
    <row r="8" spans="1:12" x14ac:dyDescent="0.35">
      <c r="A8" s="3"/>
      <c r="K8" t="s">
        <v>95</v>
      </c>
      <c r="L8">
        <f>SQRT($L$1/PI()/4)*2</f>
        <v>0.1</v>
      </c>
    </row>
    <row r="9" spans="1:12" x14ac:dyDescent="0.35">
      <c r="A9" s="10" t="s">
        <v>61</v>
      </c>
      <c r="B9" s="10" t="s">
        <v>72</v>
      </c>
      <c r="C9" s="10" t="s">
        <v>73</v>
      </c>
      <c r="D9" s="10" t="s">
        <v>74</v>
      </c>
      <c r="E9" s="10" t="s">
        <v>81</v>
      </c>
      <c r="F9" s="10" t="s">
        <v>75</v>
      </c>
      <c r="G9" s="10" t="s">
        <v>76</v>
      </c>
      <c r="K9" t="s">
        <v>96</v>
      </c>
      <c r="L9">
        <f>SQRT($L$1/PI()/3)*2</f>
        <v>0.11547005383792516</v>
      </c>
    </row>
    <row r="10" spans="1:12" x14ac:dyDescent="0.35">
      <c r="A10" s="10" t="s">
        <v>70</v>
      </c>
      <c r="B10" s="9">
        <f>COUNTIFS(References!$C$2:$C$68,Results!$A$9,References!$D$2:$D$68,Results!$A10,References!$E$2:$E$68,Results!B$1)</f>
        <v>0</v>
      </c>
      <c r="C10" s="9">
        <f>COUNTIFS(References!$C$2:$C$68,Results!$A$9,References!$D$2:$D$68,Results!$A10,References!$E$2:$E$68,Results!C$1)</f>
        <v>0</v>
      </c>
      <c r="D10" s="9">
        <f>COUNTIFS(References!$C$2:$C$68,Results!$A$9,References!$D$2:$D$68,Results!$A10,References!$E$2:$E$68,Results!D$1)</f>
        <v>1</v>
      </c>
      <c r="E10" s="9">
        <f>COUNTIFS(References!$C$2:$C$68,Results!$A$9,References!$D$2:$D$68,Results!$A10,References!$E$2:$E$68,Results!E$1)</f>
        <v>0</v>
      </c>
      <c r="F10" s="9">
        <f>COUNTIFS(References!$C$2:$C$68,Results!$A$9,References!$D$2:$D$68,Results!$A10,References!$E$2:$E$68,Results!F$1)</f>
        <v>0</v>
      </c>
      <c r="G10" s="9">
        <f>COUNTIFS(References!$C$2:$C$68,Results!$A$9,References!$D$2:$D$68,Results!$A10,References!$E$2:$E$68,Results!G$1)</f>
        <v>0</v>
      </c>
      <c r="K10" t="s">
        <v>97</v>
      </c>
      <c r="L10">
        <f>SQRT($L$1/PI()/2)*2</f>
        <v>0.1414213562373095</v>
      </c>
    </row>
    <row r="11" spans="1:12" x14ac:dyDescent="0.35">
      <c r="A11" s="10" t="s">
        <v>69</v>
      </c>
      <c r="B11" s="9">
        <f>COUNTIFS(References!$C$2:$C$68,Results!$A$9,References!$D$2:$D$68,Results!$A11,References!$E$2:$E$68,Results!B$1)</f>
        <v>0</v>
      </c>
      <c r="C11" s="9">
        <f>COUNTIFS(References!$C$2:$C$68,Results!$A$9,References!$D$2:$D$68,Results!$A11,References!$E$2:$E$68,Results!C$1)</f>
        <v>0</v>
      </c>
      <c r="D11" s="9">
        <f>COUNTIFS(References!$C$2:$C$68,Results!$A$9,References!$D$2:$D$68,Results!$A11,References!$E$2:$E$68,Results!D$1)</f>
        <v>0</v>
      </c>
      <c r="E11" s="9">
        <f>COUNTIFS(References!$C$2:$C$68,Results!$A$9,References!$D$2:$D$68,Results!$A11,References!$E$2:$E$68,Results!E$1)</f>
        <v>0</v>
      </c>
      <c r="F11" s="9">
        <f>COUNTIFS(References!$C$2:$C$68,Results!$A$9,References!$D$2:$D$68,Results!$A11,References!$E$2:$E$68,Results!F$1)</f>
        <v>0</v>
      </c>
      <c r="G11" s="9">
        <f>COUNTIFS(References!$C$2:$C$68,Results!$A$9,References!$D$2:$D$68,Results!$A11,References!$E$2:$E$68,Results!G$1)</f>
        <v>0</v>
      </c>
      <c r="K11" t="s">
        <v>98</v>
      </c>
      <c r="L11">
        <f>SQRT($L$1/PI()/1)*2</f>
        <v>0.2</v>
      </c>
    </row>
    <row r="12" spans="1:12" x14ac:dyDescent="0.35">
      <c r="A12" s="10" t="s">
        <v>79</v>
      </c>
      <c r="B12" s="9">
        <f>COUNTIFS(References!$C$2:$C$68,Results!$A$9,References!$D$2:$D$68,Results!$A12,References!$E$2:$E$68,Results!B$1)</f>
        <v>0</v>
      </c>
      <c r="C12" s="9">
        <f>COUNTIFS(References!$C$2:$C$68,Results!$A$9,References!$D$2:$D$68,Results!$A12,References!$E$2:$E$68,Results!C$1)</f>
        <v>0</v>
      </c>
      <c r="D12" s="9">
        <f>COUNTIFS(References!$C$2:$C$68,Results!$A$9,References!$D$2:$D$68,Results!$A12,References!$E$2:$E$68,Results!D$1)</f>
        <v>4</v>
      </c>
      <c r="E12" s="9">
        <f>COUNTIFS(References!$C$2:$C$68,Results!$A$9,References!$D$2:$D$68,Results!$A12,References!$E$2:$E$68,Results!E$1)</f>
        <v>0</v>
      </c>
      <c r="F12" s="9">
        <f>COUNTIFS(References!$C$2:$C$68,Results!$A$9,References!$D$2:$D$68,Results!$A12,References!$E$2:$E$68,Results!F$1)</f>
        <v>0</v>
      </c>
      <c r="G12" s="9">
        <f>COUNTIFS(References!$C$2:$C$68,Results!$A$9,References!$D$2:$D$68,Results!$A12,References!$E$2:$E$68,Results!G$1)</f>
        <v>0</v>
      </c>
    </row>
    <row r="13" spans="1:12" x14ac:dyDescent="0.35">
      <c r="A13" s="10" t="s">
        <v>68</v>
      </c>
      <c r="B13" s="9">
        <f>COUNTIFS(References!$C$2:$C$68,Results!$A$9,References!$D$2:$D$68,Results!$A13,References!$E$2:$E$68,Results!B$1)</f>
        <v>0</v>
      </c>
      <c r="C13" s="9">
        <f>COUNTIFS(References!$C$2:$C$68,Results!$A$9,References!$D$2:$D$68,Results!$A13,References!$E$2:$E$68,Results!C$1)</f>
        <v>0</v>
      </c>
      <c r="D13" s="9">
        <f>COUNTIFS(References!$C$2:$C$68,Results!$A$9,References!$D$2:$D$68,Results!$A13,References!$E$2:$E$68,Results!D$1)</f>
        <v>0</v>
      </c>
      <c r="E13" s="9">
        <f>COUNTIFS(References!$C$2:$C$68,Results!$A$9,References!$D$2:$D$68,Results!$A13,References!$E$2:$E$68,Results!E$1)</f>
        <v>0</v>
      </c>
      <c r="F13" s="9">
        <f>COUNTIFS(References!$C$2:$C$68,Results!$A$9,References!$D$2:$D$68,Results!$A13,References!$E$2:$E$68,Results!F$1)</f>
        <v>0</v>
      </c>
      <c r="G13" s="9">
        <f>COUNTIFS(References!$C$2:$C$68,Results!$A$9,References!$D$2:$D$68,Results!$A13,References!$E$2:$E$68,Results!G$1)</f>
        <v>0</v>
      </c>
    </row>
    <row r="14" spans="1:12" x14ac:dyDescent="0.35">
      <c r="A14" s="10" t="s">
        <v>67</v>
      </c>
      <c r="B14" s="9">
        <f>COUNTIFS(References!$C$2:$C$68,Results!$A$9,References!$D$2:$D$68,Results!$A14,References!$E$2:$E$68,Results!B$1)</f>
        <v>0</v>
      </c>
      <c r="C14" s="9">
        <f>COUNTIFS(References!$C$2:$C$68,Results!$A$9,References!$D$2:$D$68,Results!$A14,References!$E$2:$E$68,Results!C$1)</f>
        <v>0</v>
      </c>
      <c r="D14" s="9">
        <f>COUNTIFS(References!$C$2:$C$68,Results!$A$9,References!$D$2:$D$68,Results!$A14,References!$E$2:$E$68,Results!D$1)</f>
        <v>0</v>
      </c>
      <c r="E14" s="9">
        <f>COUNTIFS(References!$C$2:$C$68,Results!$A$9,References!$D$2:$D$68,Results!$A14,References!$E$2:$E$68,Results!E$1)</f>
        <v>0</v>
      </c>
      <c r="F14" s="9">
        <f>COUNTIFS(References!$C$2:$C$68,Results!$A$9,References!$D$2:$D$68,Results!$A14,References!$E$2:$E$68,Results!F$1)</f>
        <v>0</v>
      </c>
      <c r="G14" s="9">
        <f>COUNTIFS(References!$C$2:$C$68,Results!$A$9,References!$D$2:$D$68,Results!$A14,References!$E$2:$E$68,Results!G$1)</f>
        <v>0</v>
      </c>
    </row>
    <row r="15" spans="1:12" x14ac:dyDescent="0.35">
      <c r="A15" s="10" t="s">
        <v>80</v>
      </c>
      <c r="B15" s="9">
        <f>COUNTIFS(References!$C$2:$C$68,Results!$A$9,References!$D$2:$D$68,Results!$A15,References!$E$2:$E$68,Results!B$1)</f>
        <v>1</v>
      </c>
      <c r="C15" s="9">
        <f>COUNTIFS(References!$C$2:$C$68,Results!$A$9,References!$D$2:$D$68,Results!$A15,References!$E$2:$E$68,Results!C$1)</f>
        <v>1</v>
      </c>
      <c r="D15" s="9">
        <f>COUNTIFS(References!$C$2:$C$68,Results!$A$9,References!$D$2:$D$68,Results!$A15,References!$E$2:$E$68,Results!D$1)</f>
        <v>2</v>
      </c>
      <c r="E15" s="9">
        <f>COUNTIFS(References!$C$2:$C$68,Results!$A$9,References!$D$2:$D$68,Results!$A15,References!$E$2:$E$68,Results!E$1)</f>
        <v>0</v>
      </c>
      <c r="F15" s="9">
        <f>COUNTIFS(References!$C$2:$C$68,Results!$A$9,References!$D$2:$D$68,Results!$A15,References!$E$2:$E$68,Results!F$1)</f>
        <v>0</v>
      </c>
      <c r="G15" s="9">
        <f>COUNTIFS(References!$C$2:$C$68,Results!$A$9,References!$D$2:$D$68,Results!$A15,References!$E$2:$E$68,Results!G$1)</f>
        <v>0</v>
      </c>
      <c r="H15" s="12" t="s">
        <v>99</v>
      </c>
      <c r="I15">
        <f>SUM(B10:G15)</f>
        <v>9</v>
      </c>
    </row>
    <row r="17" spans="1:13" x14ac:dyDescent="0.35">
      <c r="A17" s="10" t="s">
        <v>62</v>
      </c>
      <c r="B17" s="10" t="s">
        <v>72</v>
      </c>
      <c r="C17" s="10" t="s">
        <v>73</v>
      </c>
      <c r="D17" s="10" t="s">
        <v>74</v>
      </c>
      <c r="E17" s="10" t="s">
        <v>81</v>
      </c>
      <c r="F17" s="10" t="s">
        <v>75</v>
      </c>
      <c r="G17" s="10" t="s">
        <v>76</v>
      </c>
    </row>
    <row r="18" spans="1:13" x14ac:dyDescent="0.35">
      <c r="A18" s="10" t="s">
        <v>70</v>
      </c>
      <c r="B18" s="9">
        <f>COUNTIFS(References!$C$2:$C$68,Results!$A$17,References!$D$2:$D$68,Results!$A18,References!$E$2:$E$68,Results!B$1)</f>
        <v>0</v>
      </c>
      <c r="C18" s="9">
        <f>COUNTIFS(References!$C$2:$C$68,Results!$A$17,References!$D$2:$D$68,Results!$A18,References!$E$2:$E$68,Results!C$1)</f>
        <v>0</v>
      </c>
      <c r="D18" s="9">
        <f>COUNTIFS(References!$C$2:$C$68,Results!$A$17,References!$D$2:$D$68,Results!$A18,References!$E$2:$E$68,Results!D$1)</f>
        <v>0</v>
      </c>
      <c r="E18" s="9">
        <f>COUNTIFS(References!$C$2:$C$68,Results!$A$17,References!$D$2:$D$68,Results!$A18,References!$E$2:$E$68,Results!E$1)</f>
        <v>0</v>
      </c>
      <c r="F18" s="9">
        <f>COUNTIFS(References!$C$2:$C$68,Results!$A$17,References!$D$2:$D$68,Results!$A18,References!$E$2:$E$68,Results!F$1)</f>
        <v>0</v>
      </c>
      <c r="G18" s="9">
        <f>COUNTIFS(References!$C$2:$C$68,Results!$A$17,References!$D$2:$D$68,Results!$A18,References!$E$2:$E$68,Results!G$1)</f>
        <v>0</v>
      </c>
    </row>
    <row r="19" spans="1:13" x14ac:dyDescent="0.35">
      <c r="A19" s="10" t="s">
        <v>69</v>
      </c>
      <c r="B19" s="9">
        <f>COUNTIFS(References!$C$2:$C$68,Results!$A$17,References!$D$2:$D$68,Results!$A19,References!$E$2:$E$68,Results!B$1)</f>
        <v>0</v>
      </c>
      <c r="C19" s="9">
        <f>COUNTIFS(References!$C$2:$C$68,Results!$A$17,References!$D$2:$D$68,Results!$A19,References!$E$2:$E$68,Results!C$1)</f>
        <v>0</v>
      </c>
      <c r="D19" s="9">
        <f>COUNTIFS(References!$C$2:$C$68,Results!$A$17,References!$D$2:$D$68,Results!$A19,References!$E$2:$E$68,Results!D$1)</f>
        <v>0</v>
      </c>
      <c r="E19" s="9">
        <f>COUNTIFS(References!$C$2:$C$68,Results!$A$17,References!$D$2:$D$68,Results!$A19,References!$E$2:$E$68,Results!E$1)</f>
        <v>0</v>
      </c>
      <c r="F19" s="9">
        <f>COUNTIFS(References!$C$2:$C$68,Results!$A$17,References!$D$2:$D$68,Results!$A19,References!$E$2:$E$68,Results!F$1)</f>
        <v>0</v>
      </c>
      <c r="G19" s="9">
        <f>COUNTIFS(References!$C$2:$C$68,Results!$A$17,References!$D$2:$D$68,Results!$A19,References!$E$2:$E$68,Results!G$1)</f>
        <v>0</v>
      </c>
    </row>
    <row r="20" spans="1:13" x14ac:dyDescent="0.35">
      <c r="A20" s="10" t="s">
        <v>79</v>
      </c>
      <c r="B20" s="9">
        <f>COUNTIFS(References!$C$2:$C$68,Results!$A$17,References!$D$2:$D$68,Results!$A20,References!$E$2:$E$68,Results!B$1)</f>
        <v>0</v>
      </c>
      <c r="C20" s="9">
        <f>COUNTIFS(References!$C$2:$C$68,Results!$A$17,References!$D$2:$D$68,Results!$A20,References!$E$2:$E$68,Results!C$1)</f>
        <v>0</v>
      </c>
      <c r="D20" s="9">
        <f>COUNTIFS(References!$C$2:$C$68,Results!$A$17,References!$D$2:$D$68,Results!$A20,References!$E$2:$E$68,Results!D$1)</f>
        <v>1</v>
      </c>
      <c r="E20" s="9">
        <f>COUNTIFS(References!$C$2:$C$68,Results!$A$17,References!$D$2:$D$68,Results!$A20,References!$E$2:$E$68,Results!E$1)</f>
        <v>0</v>
      </c>
      <c r="F20" s="9">
        <f>COUNTIFS(References!$C$2:$C$68,Results!$A$17,References!$D$2:$D$68,Results!$A20,References!$E$2:$E$68,Results!F$1)</f>
        <v>0</v>
      </c>
      <c r="G20" s="9">
        <f>COUNTIFS(References!$C$2:$C$68,Results!$A$17,References!$D$2:$D$68,Results!$A20,References!$E$2:$E$68,Results!G$1)</f>
        <v>0</v>
      </c>
    </row>
    <row r="21" spans="1:13" x14ac:dyDescent="0.35">
      <c r="A21" s="10" t="s">
        <v>68</v>
      </c>
      <c r="B21" s="9">
        <f>COUNTIFS(References!$C$2:$C$68,Results!$A$17,References!$D$2:$D$68,Results!$A21,References!$E$2:$E$68,Results!B$1)</f>
        <v>0</v>
      </c>
      <c r="C21" s="9">
        <f>COUNTIFS(References!$C$2:$C$68,Results!$A$17,References!$D$2:$D$68,Results!$A21,References!$E$2:$E$68,Results!C$1)</f>
        <v>0</v>
      </c>
      <c r="D21" s="9">
        <f>COUNTIFS(References!$C$2:$C$68,Results!$A$17,References!$D$2:$D$68,Results!$A21,References!$E$2:$E$68,Results!D$1)</f>
        <v>0</v>
      </c>
      <c r="E21" s="9">
        <f>COUNTIFS(References!$C$2:$C$68,Results!$A$17,References!$D$2:$D$68,Results!$A21,References!$E$2:$E$68,Results!E$1)</f>
        <v>0</v>
      </c>
      <c r="F21" s="9">
        <f>COUNTIFS(References!$C$2:$C$68,Results!$A$17,References!$D$2:$D$68,Results!$A21,References!$E$2:$E$68,Results!F$1)</f>
        <v>0</v>
      </c>
      <c r="G21" s="9">
        <f>COUNTIFS(References!$C$2:$C$68,Results!$A$17,References!$D$2:$D$68,Results!$A21,References!$E$2:$E$68,Results!G$1)</f>
        <v>0</v>
      </c>
    </row>
    <row r="22" spans="1:13" x14ac:dyDescent="0.35">
      <c r="A22" s="10" t="s">
        <v>67</v>
      </c>
      <c r="B22" s="9">
        <f>COUNTIFS(References!$C$2:$C$68,Results!$A$17,References!$D$2:$D$68,Results!$A22,References!$E$2:$E$68,Results!B$1)</f>
        <v>0</v>
      </c>
      <c r="C22" s="9">
        <f>COUNTIFS(References!$C$2:$C$68,Results!$A$17,References!$D$2:$D$68,Results!$A22,References!$E$2:$E$68,Results!C$1)</f>
        <v>0</v>
      </c>
      <c r="D22" s="9">
        <f>COUNTIFS(References!$C$2:$C$68,Results!$A$17,References!$D$2:$D$68,Results!$A22,References!$E$2:$E$68,Results!D$1)</f>
        <v>0</v>
      </c>
      <c r="E22" s="9">
        <f>COUNTIFS(References!$C$2:$C$68,Results!$A$17,References!$D$2:$D$68,Results!$A22,References!$E$2:$E$68,Results!E$1)</f>
        <v>0</v>
      </c>
      <c r="F22" s="9">
        <f>COUNTIFS(References!$C$2:$C$68,Results!$A$17,References!$D$2:$D$68,Results!$A22,References!$E$2:$E$68,Results!F$1)</f>
        <v>0</v>
      </c>
      <c r="G22" s="9">
        <f>COUNTIFS(References!$C$2:$C$68,Results!$A$17,References!$D$2:$D$68,Results!$A22,References!$E$2:$E$68,Results!G$1)</f>
        <v>0</v>
      </c>
    </row>
    <row r="23" spans="1:13" x14ac:dyDescent="0.35">
      <c r="A23" s="10" t="s">
        <v>80</v>
      </c>
      <c r="B23" s="9">
        <f>COUNTIFS(References!$C$2:$C$68,Results!$A$17,References!$D$2:$D$68,Results!$A23,References!$E$2:$E$68,Results!B$1)</f>
        <v>0</v>
      </c>
      <c r="C23" s="9">
        <f>COUNTIFS(References!$C$2:$C$68,Results!$A$17,References!$D$2:$D$68,Results!$A23,References!$E$2:$E$68,Results!C$1)</f>
        <v>1</v>
      </c>
      <c r="D23" s="9">
        <f>COUNTIFS(References!$C$2:$C$68,Results!$A$17,References!$D$2:$D$68,Results!$A23,References!$E$2:$E$68,Results!D$1)</f>
        <v>1</v>
      </c>
      <c r="E23" s="9">
        <f>COUNTIFS(References!$C$2:$C$68,Results!$A$17,References!$D$2:$D$68,Results!$A23,References!$E$2:$E$68,Results!E$1)</f>
        <v>0</v>
      </c>
      <c r="F23" s="9">
        <f>COUNTIFS(References!$C$2:$C$68,Results!$A$17,References!$D$2:$D$68,Results!$A23,References!$E$2:$E$68,Results!F$1)</f>
        <v>1</v>
      </c>
      <c r="G23" s="9">
        <f>COUNTIFS(References!$C$2:$C$68,Results!$A$17,References!$D$2:$D$68,Results!$A23,References!$E$2:$E$68,Results!G$1)</f>
        <v>0</v>
      </c>
      <c r="H23" s="12" t="s">
        <v>99</v>
      </c>
      <c r="I23">
        <f>SUM(B18:G23)</f>
        <v>4</v>
      </c>
    </row>
    <row r="25" spans="1:13" x14ac:dyDescent="0.35">
      <c r="A25" s="10" t="s">
        <v>63</v>
      </c>
      <c r="B25" s="10" t="s">
        <v>72</v>
      </c>
      <c r="C25" s="10" t="s">
        <v>73</v>
      </c>
      <c r="D25" s="10" t="s">
        <v>74</v>
      </c>
      <c r="E25" s="10" t="s">
        <v>81</v>
      </c>
      <c r="F25" s="10" t="s">
        <v>75</v>
      </c>
      <c r="G25" s="10" t="s">
        <v>76</v>
      </c>
      <c r="L25" s="11" t="s">
        <v>88</v>
      </c>
      <c r="M25" s="11">
        <f>PI()*(0.2/2)^2</f>
        <v>3.1415926535897934E-2</v>
      </c>
    </row>
    <row r="26" spans="1:13" x14ac:dyDescent="0.35">
      <c r="A26" s="10" t="s">
        <v>70</v>
      </c>
      <c r="B26" s="9">
        <f>COUNTIFS(References!$C$2:$C$68,Results!$A$25,References!$D$2:$D$68,Results!$A26,References!$E$2:$E$68,Results!B$1)</f>
        <v>0</v>
      </c>
      <c r="C26" s="9">
        <f>COUNTIFS(References!$C$2:$C$68,Results!$A$25,References!$D$2:$D$68,Results!$A26,References!$E$2:$E$68,Results!C$1)</f>
        <v>0</v>
      </c>
      <c r="D26" s="9">
        <f>COUNTIFS(References!$C$2:$C$68,Results!$A$25,References!$D$2:$D$68,Results!$A26,References!$E$2:$E$68,Results!D$1)</f>
        <v>0</v>
      </c>
      <c r="E26" s="9">
        <f>COUNTIFS(References!$C$2:$C$68,Results!$A$25,References!$D$2:$D$68,Results!$A26,References!$E$2:$E$68,Results!E$1)</f>
        <v>0</v>
      </c>
      <c r="F26" s="9">
        <f>COUNTIFS(References!$C$2:$C$68,Results!$A$25,References!$D$2:$D$68,Results!$A26,References!$E$2:$E$68,Results!F$1)</f>
        <v>0</v>
      </c>
      <c r="G26" s="9">
        <f>COUNTIFS(References!$C$2:$C$68,Results!$A$25,References!$D$2:$D$68,Results!$A26,References!$E$2:$E$68,Results!G$1)</f>
        <v>0</v>
      </c>
      <c r="L26" t="s">
        <v>89</v>
      </c>
      <c r="M26">
        <f>SQRT($L$1/PI()/10)*2</f>
        <v>6.3245553203367583E-2</v>
      </c>
    </row>
    <row r="27" spans="1:13" x14ac:dyDescent="0.35">
      <c r="A27" s="10" t="s">
        <v>69</v>
      </c>
      <c r="B27" s="9">
        <f>COUNTIFS(References!$C$2:$C$68,Results!$A$25,References!$D$2:$D$68,Results!$A27,References!$E$2:$E$68,Results!B$1)</f>
        <v>0</v>
      </c>
      <c r="C27" s="9">
        <f>COUNTIFS(References!$C$2:$C$68,Results!$A$25,References!$D$2:$D$68,Results!$A27,References!$E$2:$E$68,Results!C$1)</f>
        <v>0</v>
      </c>
      <c r="D27" s="9">
        <f>COUNTIFS(References!$C$2:$C$68,Results!$A$25,References!$D$2:$D$68,Results!$A27,References!$E$2:$E$68,Results!D$1)</f>
        <v>0</v>
      </c>
      <c r="E27" s="9">
        <f>COUNTIFS(References!$C$2:$C$68,Results!$A$25,References!$D$2:$D$68,Results!$A27,References!$E$2:$E$68,Results!E$1)</f>
        <v>0</v>
      </c>
      <c r="F27" s="9">
        <f>COUNTIFS(References!$C$2:$C$68,Results!$A$25,References!$D$2:$D$68,Results!$A27,References!$E$2:$E$68,Results!F$1)</f>
        <v>0</v>
      </c>
      <c r="G27" s="9">
        <f>COUNTIFS(References!$C$2:$C$68,Results!$A$25,References!$D$2:$D$68,Results!$A27,References!$E$2:$E$68,Results!G$1)</f>
        <v>0</v>
      </c>
      <c r="L27" t="s">
        <v>90</v>
      </c>
      <c r="M27">
        <f>SQRT($L$1/PI()/9)*2</f>
        <v>6.6666666666666666E-2</v>
      </c>
    </row>
    <row r="28" spans="1:13" x14ac:dyDescent="0.35">
      <c r="A28" s="10" t="s">
        <v>79</v>
      </c>
      <c r="B28" s="9">
        <f>COUNTIFS(References!$C$2:$C$68,Results!$A$25,References!$D$2:$D$68,Results!$A28,References!$E$2:$E$68,Results!B$1)</f>
        <v>0</v>
      </c>
      <c r="C28" s="9">
        <f>COUNTIFS(References!$C$2:$C$68,Results!$A$25,References!$D$2:$D$68,Results!$A28,References!$E$2:$E$68,Results!C$1)</f>
        <v>0</v>
      </c>
      <c r="D28" s="9">
        <f>COUNTIFS(References!$C$2:$C$68,Results!$A$25,References!$D$2:$D$68,Results!$A28,References!$E$2:$E$68,Results!D$1)</f>
        <v>4</v>
      </c>
      <c r="E28" s="9">
        <f>COUNTIFS(References!$C$2:$C$68,Results!$A$25,References!$D$2:$D$68,Results!$A28,References!$E$2:$E$68,Results!E$1)</f>
        <v>0</v>
      </c>
      <c r="F28" s="9">
        <f>COUNTIFS(References!$C$2:$C$68,Results!$A$25,References!$D$2:$D$68,Results!$A28,References!$E$2:$E$68,Results!F$1)</f>
        <v>0</v>
      </c>
      <c r="G28" s="9">
        <f>COUNTIFS(References!$C$2:$C$68,Results!$A$25,References!$D$2:$D$68,Results!$A28,References!$E$2:$E$68,Results!G$1)</f>
        <v>0</v>
      </c>
      <c r="L28" t="s">
        <v>91</v>
      </c>
      <c r="M28">
        <f>SQRT($L$1/PI()/8)*2</f>
        <v>7.0710678118654752E-2</v>
      </c>
    </row>
    <row r="29" spans="1:13" x14ac:dyDescent="0.35">
      <c r="A29" s="10" t="s">
        <v>68</v>
      </c>
      <c r="B29" s="9">
        <f>COUNTIFS(References!$C$2:$C$68,Results!$A$25,References!$D$2:$D$68,Results!$A29,References!$E$2:$E$68,Results!B$1)</f>
        <v>0</v>
      </c>
      <c r="C29" s="9">
        <f>COUNTIFS(References!$C$2:$C$68,Results!$A$25,References!$D$2:$D$68,Results!$A29,References!$E$2:$E$68,Results!C$1)</f>
        <v>0</v>
      </c>
      <c r="D29" s="9">
        <f>COUNTIFS(References!$C$2:$C$68,Results!$A$25,References!$D$2:$D$68,Results!$A29,References!$E$2:$E$68,Results!D$1)</f>
        <v>0</v>
      </c>
      <c r="E29" s="9">
        <f>COUNTIFS(References!$C$2:$C$68,Results!$A$25,References!$D$2:$D$68,Results!$A29,References!$E$2:$E$68,Results!E$1)</f>
        <v>0</v>
      </c>
      <c r="F29" s="9">
        <f>COUNTIFS(References!$C$2:$C$68,Results!$A$25,References!$D$2:$D$68,Results!$A29,References!$E$2:$E$68,Results!F$1)</f>
        <v>0</v>
      </c>
      <c r="G29" s="9">
        <f>COUNTIFS(References!$C$2:$C$68,Results!$A$25,References!$D$2:$D$68,Results!$A29,References!$E$2:$E$68,Results!G$1)</f>
        <v>0</v>
      </c>
      <c r="L29" t="s">
        <v>92</v>
      </c>
      <c r="M29">
        <f>SQRT($L$1/PI()/7)*2</f>
        <v>7.5592894601845442E-2</v>
      </c>
    </row>
    <row r="30" spans="1:13" x14ac:dyDescent="0.35">
      <c r="A30" s="10" t="s">
        <v>67</v>
      </c>
      <c r="B30" s="9">
        <f>COUNTIFS(References!$C$2:$C$68,Results!$A$25,References!$D$2:$D$68,Results!$A30,References!$E$2:$E$68,Results!B$1)</f>
        <v>0</v>
      </c>
      <c r="C30" s="9">
        <f>COUNTIFS(References!$C$2:$C$68,Results!$A$25,References!$D$2:$D$68,Results!$A30,References!$E$2:$E$68,Results!C$1)</f>
        <v>0</v>
      </c>
      <c r="D30" s="9">
        <f>COUNTIFS(References!$C$2:$C$68,Results!$A$25,References!$D$2:$D$68,Results!$A30,References!$E$2:$E$68,Results!D$1)</f>
        <v>0</v>
      </c>
      <c r="E30" s="9">
        <f>COUNTIFS(References!$C$2:$C$68,Results!$A$25,References!$D$2:$D$68,Results!$A30,References!$E$2:$E$68,Results!E$1)</f>
        <v>0</v>
      </c>
      <c r="F30" s="9">
        <f>COUNTIFS(References!$C$2:$C$68,Results!$A$25,References!$D$2:$D$68,Results!$A30,References!$E$2:$E$68,Results!F$1)</f>
        <v>0</v>
      </c>
      <c r="G30" s="9">
        <f>COUNTIFS(References!$C$2:$C$68,Results!$A$25,References!$D$2:$D$68,Results!$A30,References!$E$2:$E$68,Results!G$1)</f>
        <v>0</v>
      </c>
      <c r="L30" t="s">
        <v>93</v>
      </c>
      <c r="M30">
        <f>SQRT($L$1/PI()/6)*2</f>
        <v>8.1649658092772609E-2</v>
      </c>
    </row>
    <row r="31" spans="1:13" x14ac:dyDescent="0.35">
      <c r="A31" s="10" t="s">
        <v>80</v>
      </c>
      <c r="B31" s="9">
        <f>COUNTIFS(References!$C$2:$C$68,Results!$A$25,References!$D$2:$D$68,Results!$A31,References!$E$2:$E$68,Results!B$1)</f>
        <v>0</v>
      </c>
      <c r="C31" s="9">
        <f>COUNTIFS(References!$C$2:$C$68,Results!$A$25,References!$D$2:$D$68,Results!$A31,References!$E$2:$E$68,Results!C$1)</f>
        <v>0</v>
      </c>
      <c r="D31" s="9">
        <f>COUNTIFS(References!$C$2:$C$68,Results!$A$25,References!$D$2:$D$68,Results!$A31,References!$E$2:$E$68,Results!D$1)</f>
        <v>1</v>
      </c>
      <c r="E31" s="9">
        <f>COUNTIFS(References!$C$2:$C$68,Results!$A$25,References!$D$2:$D$68,Results!$A31,References!$E$2:$E$68,Results!E$1)</f>
        <v>0</v>
      </c>
      <c r="F31" s="9">
        <f>COUNTIFS(References!$C$2:$C$68,Results!$A$25,References!$D$2:$D$68,Results!$A31,References!$E$2:$E$68,Results!F$1)</f>
        <v>0</v>
      </c>
      <c r="G31" s="9">
        <f>COUNTIFS(References!$C$2:$C$68,Results!$A$25,References!$D$2:$D$68,Results!$A31,References!$E$2:$E$68,Results!G$1)</f>
        <v>0</v>
      </c>
      <c r="H31" s="12" t="s">
        <v>99</v>
      </c>
      <c r="I31">
        <f>SUM(B26:G31)</f>
        <v>5</v>
      </c>
      <c r="L31" t="s">
        <v>94</v>
      </c>
      <c r="M31">
        <f>SQRT($L$1/PI()/5)*2</f>
        <v>8.9442719099991588E-2</v>
      </c>
    </row>
    <row r="32" spans="1:13" x14ac:dyDescent="0.35">
      <c r="L32" t="s">
        <v>95</v>
      </c>
      <c r="M32">
        <f>SQRT($L$1/PI()/4)*2</f>
        <v>0.1</v>
      </c>
    </row>
    <row r="33" spans="1:13" x14ac:dyDescent="0.35">
      <c r="A33" s="10" t="s">
        <v>64</v>
      </c>
      <c r="B33" s="10" t="s">
        <v>72</v>
      </c>
      <c r="C33" s="10" t="s">
        <v>73</v>
      </c>
      <c r="D33" s="10" t="s">
        <v>74</v>
      </c>
      <c r="E33" s="10" t="s">
        <v>81</v>
      </c>
      <c r="F33" s="10" t="s">
        <v>75</v>
      </c>
      <c r="G33" s="10" t="s">
        <v>76</v>
      </c>
      <c r="L33" t="s">
        <v>96</v>
      </c>
      <c r="M33">
        <f>SQRT($L$1/PI()/3)*2</f>
        <v>0.11547005383792516</v>
      </c>
    </row>
    <row r="34" spans="1:13" x14ac:dyDescent="0.35">
      <c r="A34" s="10" t="s">
        <v>70</v>
      </c>
      <c r="B34" s="9">
        <f>COUNTIFS(References!$C$2:$C$68,Results!$A$33,References!$D$2:$D$68,Results!$A34,References!$E$2:$E$68,Results!B$1)</f>
        <v>0</v>
      </c>
      <c r="C34" s="9">
        <f>COUNTIFS(References!$C$2:$C$68,Results!$A$33,References!$D$2:$D$68,Results!$A34,References!$E$2:$E$68,Results!C$1)</f>
        <v>0</v>
      </c>
      <c r="D34" s="9">
        <f>COUNTIFS(References!$C$2:$C$68,Results!$A$33,References!$D$2:$D$68,Results!$A34,References!$E$2:$E$68,Results!D$1)</f>
        <v>0</v>
      </c>
      <c r="E34" s="9">
        <f>COUNTIFS(References!$C$2:$C$68,Results!$A$33,References!$D$2:$D$68,Results!$A34,References!$E$2:$E$68,Results!E$1)</f>
        <v>0</v>
      </c>
      <c r="F34" s="9">
        <f>COUNTIFS(References!$C$2:$C$68,Results!$A$33,References!$D$2:$D$68,Results!$A34,References!$E$2:$E$68,Results!F$1)</f>
        <v>0</v>
      </c>
      <c r="G34" s="9">
        <f>COUNTIFS(References!$C$2:$C$68,Results!$A$33,References!$D$2:$D$68,Results!$A34,References!$E$2:$E$68,Results!G$1)</f>
        <v>0</v>
      </c>
      <c r="L34" t="s">
        <v>97</v>
      </c>
      <c r="M34">
        <f>SQRT($L$1/PI()/2)*2</f>
        <v>0.1414213562373095</v>
      </c>
    </row>
    <row r="35" spans="1:13" x14ac:dyDescent="0.35">
      <c r="A35" s="10" t="s">
        <v>69</v>
      </c>
      <c r="B35" s="9">
        <f>COUNTIFS(References!$C$2:$C$68,Results!$A$33,References!$D$2:$D$68,Results!$A35,References!$E$2:$E$68,Results!B$1)</f>
        <v>0</v>
      </c>
      <c r="C35" s="9">
        <f>COUNTIFS(References!$C$2:$C$68,Results!$A$33,References!$D$2:$D$68,Results!$A35,References!$E$2:$E$68,Results!C$1)</f>
        <v>0</v>
      </c>
      <c r="D35" s="9">
        <f>COUNTIFS(References!$C$2:$C$68,Results!$A$33,References!$D$2:$D$68,Results!$A35,References!$E$2:$E$68,Results!D$1)</f>
        <v>0</v>
      </c>
      <c r="E35" s="9">
        <f>COUNTIFS(References!$C$2:$C$68,Results!$A$33,References!$D$2:$D$68,Results!$A35,References!$E$2:$E$68,Results!E$1)</f>
        <v>0</v>
      </c>
      <c r="F35" s="9">
        <f>COUNTIFS(References!$C$2:$C$68,Results!$A$33,References!$D$2:$D$68,Results!$A35,References!$E$2:$E$68,Results!F$1)</f>
        <v>0</v>
      </c>
      <c r="G35" s="9">
        <f>COUNTIFS(References!$C$2:$C$68,Results!$A$33,References!$D$2:$D$68,Results!$A35,References!$E$2:$E$68,Results!G$1)</f>
        <v>0</v>
      </c>
      <c r="L35" t="s">
        <v>98</v>
      </c>
      <c r="M35">
        <f>SQRT($L$1/PI()/1)*2</f>
        <v>0.2</v>
      </c>
    </row>
    <row r="36" spans="1:13" x14ac:dyDescent="0.35">
      <c r="A36" s="10" t="s">
        <v>79</v>
      </c>
      <c r="B36" s="9">
        <f>COUNTIFS(References!$C$2:$C$68,Results!$A$33,References!$D$2:$D$68,Results!$A36,References!$E$2:$E$68,Results!B$1)</f>
        <v>0</v>
      </c>
      <c r="C36" s="9">
        <f>COUNTIFS(References!$C$2:$C$68,Results!$A$33,References!$D$2:$D$68,Results!$A36,References!$E$2:$E$68,Results!C$1)</f>
        <v>0</v>
      </c>
      <c r="D36" s="9">
        <f>COUNTIFS(References!$C$2:$C$68,Results!$A$33,References!$D$2:$D$68,Results!$A36,References!$E$2:$E$68,Results!D$1)</f>
        <v>2</v>
      </c>
      <c r="E36" s="9">
        <f>COUNTIFS(References!$C$2:$C$68,Results!$A$33,References!$D$2:$D$68,Results!$A36,References!$E$2:$E$68,Results!E$1)</f>
        <v>0</v>
      </c>
      <c r="F36" s="9">
        <f>COUNTIFS(References!$C$2:$C$68,Results!$A$33,References!$D$2:$D$68,Results!$A36,References!$E$2:$E$68,Results!F$1)</f>
        <v>0</v>
      </c>
      <c r="G36" s="9">
        <f>COUNTIFS(References!$C$2:$C$68,Results!$A$33,References!$D$2:$D$68,Results!$A36,References!$E$2:$E$68,Results!G$1)</f>
        <v>0</v>
      </c>
    </row>
    <row r="37" spans="1:13" x14ac:dyDescent="0.35">
      <c r="A37" s="10" t="s">
        <v>68</v>
      </c>
      <c r="B37" s="9">
        <f>COUNTIFS(References!$C$2:$C$68,Results!$A$33,References!$D$2:$D$68,Results!$A37,References!$E$2:$E$68,Results!B$1)</f>
        <v>0</v>
      </c>
      <c r="C37" s="9">
        <f>COUNTIFS(References!$C$2:$C$68,Results!$A$33,References!$D$2:$D$68,Results!$A37,References!$E$2:$E$68,Results!C$1)</f>
        <v>0</v>
      </c>
      <c r="D37" s="9">
        <f>COUNTIFS(References!$C$2:$C$68,Results!$A$33,References!$D$2:$D$68,Results!$A37,References!$E$2:$E$68,Results!D$1)</f>
        <v>0</v>
      </c>
      <c r="E37" s="9">
        <f>COUNTIFS(References!$C$2:$C$68,Results!$A$33,References!$D$2:$D$68,Results!$A37,References!$E$2:$E$68,Results!E$1)</f>
        <v>0</v>
      </c>
      <c r="F37" s="9">
        <f>COUNTIFS(References!$C$2:$C$68,Results!$A$33,References!$D$2:$D$68,Results!$A37,References!$E$2:$E$68,Results!F$1)</f>
        <v>0</v>
      </c>
      <c r="G37" s="9">
        <f>COUNTIFS(References!$C$2:$C$68,Results!$A$33,References!$D$2:$D$68,Results!$A37,References!$E$2:$E$68,Results!G$1)</f>
        <v>0</v>
      </c>
    </row>
    <row r="38" spans="1:13" x14ac:dyDescent="0.35">
      <c r="A38" s="10" t="s">
        <v>67</v>
      </c>
      <c r="B38" s="9">
        <f>COUNTIFS(References!$C$2:$C$68,Results!$A$33,References!$D$2:$D$68,Results!$A38,References!$E$2:$E$68,Results!B$1)</f>
        <v>0</v>
      </c>
      <c r="C38" s="9">
        <f>COUNTIFS(References!$C$2:$C$68,Results!$A$33,References!$D$2:$D$68,Results!$A38,References!$E$2:$E$68,Results!C$1)</f>
        <v>0</v>
      </c>
      <c r="D38" s="9">
        <f>COUNTIFS(References!$C$2:$C$68,Results!$A$33,References!$D$2:$D$68,Results!$A38,References!$E$2:$E$68,Results!D$1)</f>
        <v>3</v>
      </c>
      <c r="E38" s="9">
        <f>COUNTIFS(References!$C$2:$C$68,Results!$A$33,References!$D$2:$D$68,Results!$A38,References!$E$2:$E$68,Results!E$1)</f>
        <v>0</v>
      </c>
      <c r="F38" s="9">
        <f>COUNTIFS(References!$C$2:$C$68,Results!$A$33,References!$D$2:$D$68,Results!$A38,References!$E$2:$E$68,Results!F$1)</f>
        <v>0</v>
      </c>
      <c r="G38" s="9">
        <f>COUNTIFS(References!$C$2:$C$68,Results!$A$33,References!$D$2:$D$68,Results!$A38,References!$E$2:$E$68,Results!G$1)</f>
        <v>0</v>
      </c>
    </row>
    <row r="39" spans="1:13" x14ac:dyDescent="0.35">
      <c r="A39" s="10" t="s">
        <v>80</v>
      </c>
      <c r="B39" s="9">
        <f>COUNTIFS(References!$C$2:$C$68,Results!$A$33,References!$D$2:$D$68,Results!$A39,References!$E$2:$E$68,Results!B$1)</f>
        <v>0</v>
      </c>
      <c r="C39" s="9">
        <f>COUNTIFS(References!$C$2:$C$68,Results!$A$33,References!$D$2:$D$68,Results!$A39,References!$E$2:$E$68,Results!C$1)</f>
        <v>0</v>
      </c>
      <c r="D39" s="9">
        <f>COUNTIFS(References!$C$2:$C$68,Results!$A$33,References!$D$2:$D$68,Results!$A39,References!$E$2:$E$68,Results!D$1)</f>
        <v>1</v>
      </c>
      <c r="E39" s="9">
        <f>COUNTIFS(References!$C$2:$C$68,Results!$A$33,References!$D$2:$D$68,Results!$A39,References!$E$2:$E$68,Results!E$1)</f>
        <v>0</v>
      </c>
      <c r="F39" s="9">
        <f>COUNTIFS(References!$C$2:$C$68,Results!$A$33,References!$D$2:$D$68,Results!$A39,References!$E$2:$E$68,Results!F$1)</f>
        <v>0</v>
      </c>
      <c r="G39" s="9">
        <f>COUNTIFS(References!$C$2:$C$68,Results!$A$33,References!$D$2:$D$68,Results!$A39,References!$E$2:$E$68,Results!G$1)</f>
        <v>0</v>
      </c>
      <c r="H39" s="12" t="s">
        <v>99</v>
      </c>
      <c r="I39">
        <f>SUM(B34:G39)</f>
        <v>6</v>
      </c>
    </row>
    <row r="41" spans="1:13" x14ac:dyDescent="0.35">
      <c r="A41" s="10" t="s">
        <v>65</v>
      </c>
      <c r="B41" s="10" t="s">
        <v>72</v>
      </c>
      <c r="C41" s="10" t="s">
        <v>73</v>
      </c>
      <c r="D41" s="10" t="s">
        <v>74</v>
      </c>
      <c r="E41" s="10" t="s">
        <v>81</v>
      </c>
      <c r="F41" s="10" t="s">
        <v>75</v>
      </c>
      <c r="G41" s="10" t="s">
        <v>76</v>
      </c>
    </row>
    <row r="42" spans="1:13" x14ac:dyDescent="0.35">
      <c r="A42" s="10" t="s">
        <v>70</v>
      </c>
      <c r="B42" s="9">
        <f>COUNTIFS(References!$C$2:$C$68,Results!$A$41,References!$D$2:$D$68,Results!$A42,References!$E$2:$E$68,Results!B$1)</f>
        <v>0</v>
      </c>
      <c r="C42" s="9">
        <f>COUNTIFS(References!$C$2:$C$68,Results!$A$41,References!$D$2:$D$68,Results!$A42,References!$E$2:$E$68,Results!C$1)</f>
        <v>0</v>
      </c>
      <c r="D42" s="9">
        <f>COUNTIFS(References!$C$2:$C$68,Results!$A$41,References!$D$2:$D$68,Results!$A42,References!$E$2:$E$68,Results!D$1)</f>
        <v>0</v>
      </c>
      <c r="E42" s="9">
        <f>COUNTIFS(References!$C$2:$C$68,Results!$A$41,References!$D$2:$D$68,Results!$A42,References!$E$2:$E$68,Results!E$1)</f>
        <v>0</v>
      </c>
      <c r="F42" s="9">
        <f>COUNTIFS(References!$C$2:$C$68,Results!$A$41,References!$D$2:$D$68,Results!$A42,References!$E$2:$E$68,Results!F$1)</f>
        <v>0</v>
      </c>
      <c r="G42" s="9">
        <f>COUNTIFS(References!$C$2:$C$68,Results!$A$41,References!$D$2:$D$68,Results!$A42,References!$E$2:$E$68,Results!G$1)</f>
        <v>0</v>
      </c>
    </row>
    <row r="43" spans="1:13" x14ac:dyDescent="0.35">
      <c r="A43" s="10" t="s">
        <v>69</v>
      </c>
      <c r="B43" s="9">
        <f>COUNTIFS(References!$C$2:$C$68,Results!$A$41,References!$D$2:$D$68,Results!$A43,References!$E$2:$E$68,Results!B$1)</f>
        <v>0</v>
      </c>
      <c r="C43" s="9">
        <f>COUNTIFS(References!$C$2:$C$68,Results!$A$41,References!$D$2:$D$68,Results!$A43,References!$E$2:$E$68,Results!C$1)</f>
        <v>0</v>
      </c>
      <c r="D43" s="9">
        <f>COUNTIFS(References!$C$2:$C$68,Results!$A$41,References!$D$2:$D$68,Results!$A43,References!$E$2:$E$68,Results!D$1)</f>
        <v>0</v>
      </c>
      <c r="E43" s="9">
        <f>COUNTIFS(References!$C$2:$C$68,Results!$A$41,References!$D$2:$D$68,Results!$A43,References!$E$2:$E$68,Results!E$1)</f>
        <v>0</v>
      </c>
      <c r="F43" s="9">
        <f>COUNTIFS(References!$C$2:$C$68,Results!$A$41,References!$D$2:$D$68,Results!$A43,References!$E$2:$E$68,Results!F$1)</f>
        <v>0</v>
      </c>
      <c r="G43" s="9">
        <f>COUNTIFS(References!$C$2:$C$68,Results!$A$41,References!$D$2:$D$68,Results!$A43,References!$E$2:$E$68,Results!G$1)</f>
        <v>0</v>
      </c>
    </row>
    <row r="44" spans="1:13" x14ac:dyDescent="0.35">
      <c r="A44" s="10" t="s">
        <v>79</v>
      </c>
      <c r="B44" s="9">
        <f>COUNTIFS(References!$C$2:$C$68,Results!$A$41,References!$D$2:$D$68,Results!$A44,References!$E$2:$E$68,Results!B$1)</f>
        <v>0</v>
      </c>
      <c r="C44" s="9">
        <f>COUNTIFS(References!$C$2:$C$68,Results!$A$41,References!$D$2:$D$68,Results!$A44,References!$E$2:$E$68,Results!C$1)</f>
        <v>0</v>
      </c>
      <c r="D44" s="9">
        <f>COUNTIFS(References!$C$2:$C$68,Results!$A$41,References!$D$2:$D$68,Results!$A44,References!$E$2:$E$68,Results!D$1)</f>
        <v>1</v>
      </c>
      <c r="E44" s="9">
        <f>COUNTIFS(References!$C$2:$C$68,Results!$A$41,References!$D$2:$D$68,Results!$A44,References!$E$2:$E$68,Results!E$1)</f>
        <v>0</v>
      </c>
      <c r="F44" s="9">
        <f>COUNTIFS(References!$C$2:$C$68,Results!$A$41,References!$D$2:$D$68,Results!$A44,References!$E$2:$E$68,Results!F$1)</f>
        <v>0</v>
      </c>
      <c r="G44" s="9">
        <f>COUNTIFS(References!$C$2:$C$68,Results!$A$41,References!$D$2:$D$68,Results!$A44,References!$E$2:$E$68,Results!G$1)</f>
        <v>1</v>
      </c>
    </row>
    <row r="45" spans="1:13" x14ac:dyDescent="0.35">
      <c r="A45" s="10" t="s">
        <v>68</v>
      </c>
      <c r="B45" s="9">
        <f>COUNTIFS(References!$C$2:$C$68,Results!$A$41,References!$D$2:$D$68,Results!$A45,References!$E$2:$E$68,Results!B$1)</f>
        <v>0</v>
      </c>
      <c r="C45" s="9">
        <f>COUNTIFS(References!$C$2:$C$68,Results!$A$41,References!$D$2:$D$68,Results!$A45,References!$E$2:$E$68,Results!C$1)</f>
        <v>0</v>
      </c>
      <c r="D45" s="9">
        <f>COUNTIFS(References!$C$2:$C$68,Results!$A$41,References!$D$2:$D$68,Results!$A45,References!$E$2:$E$68,Results!D$1)</f>
        <v>0</v>
      </c>
      <c r="E45" s="9">
        <f>COUNTIFS(References!$C$2:$C$68,Results!$A$41,References!$D$2:$D$68,Results!$A45,References!$E$2:$E$68,Results!E$1)</f>
        <v>0</v>
      </c>
      <c r="F45" s="9">
        <f>COUNTIFS(References!$C$2:$C$68,Results!$A$41,References!$D$2:$D$68,Results!$A45,References!$E$2:$E$68,Results!F$1)</f>
        <v>0</v>
      </c>
      <c r="G45" s="9">
        <f>COUNTIFS(References!$C$2:$C$68,Results!$A$41,References!$D$2:$D$68,Results!$A45,References!$E$2:$E$68,Results!G$1)</f>
        <v>0</v>
      </c>
    </row>
    <row r="46" spans="1:13" x14ac:dyDescent="0.35">
      <c r="A46" s="10" t="s">
        <v>67</v>
      </c>
      <c r="B46" s="9">
        <f>COUNTIFS(References!$C$2:$C$68,Results!$A$41,References!$D$2:$D$68,Results!$A46,References!$E$2:$E$68,Results!B$1)</f>
        <v>0</v>
      </c>
      <c r="C46" s="9">
        <f>COUNTIFS(References!$C$2:$C$68,Results!$A$41,References!$D$2:$D$68,Results!$A46,References!$E$2:$E$68,Results!C$1)</f>
        <v>0</v>
      </c>
      <c r="D46" s="9">
        <f>COUNTIFS(References!$C$2:$C$68,Results!$A$41,References!$D$2:$D$68,Results!$A46,References!$E$2:$E$68,Results!D$1)</f>
        <v>0</v>
      </c>
      <c r="E46" s="9">
        <f>COUNTIFS(References!$C$2:$C$68,Results!$A$41,References!$D$2:$D$68,Results!$A46,References!$E$2:$E$68,Results!E$1)</f>
        <v>0</v>
      </c>
      <c r="F46" s="9">
        <f>COUNTIFS(References!$C$2:$C$68,Results!$A$41,References!$D$2:$D$68,Results!$A46,References!$E$2:$E$68,Results!F$1)</f>
        <v>0</v>
      </c>
      <c r="G46" s="9">
        <f>COUNTIFS(References!$C$2:$C$68,Results!$A$41,References!$D$2:$D$68,Results!$A46,References!$E$2:$E$68,Results!G$1)</f>
        <v>1</v>
      </c>
    </row>
    <row r="47" spans="1:13" x14ac:dyDescent="0.35">
      <c r="A47" s="10" t="s">
        <v>80</v>
      </c>
      <c r="B47" s="9">
        <f>COUNTIFS(References!$C$2:$C$68,Results!$A$41,References!$D$2:$D$68,Results!$A47,References!$E$2:$E$68,Results!B$1)</f>
        <v>2</v>
      </c>
      <c r="C47" s="9">
        <f>COUNTIFS(References!$C$2:$C$68,Results!$A$41,References!$D$2:$D$68,Results!$A47,References!$E$2:$E$68,Results!C$1)</f>
        <v>0</v>
      </c>
      <c r="D47" s="9">
        <f>COUNTIFS(References!$C$2:$C$68,Results!$A$41,References!$D$2:$D$68,Results!$A47,References!$E$2:$E$68,Results!D$1)</f>
        <v>4</v>
      </c>
      <c r="E47" s="9">
        <f>COUNTIFS(References!$C$2:$C$68,Results!$A$41,References!$D$2:$D$68,Results!$A47,References!$E$2:$E$68,Results!E$1)</f>
        <v>0</v>
      </c>
      <c r="F47" s="9">
        <f>COUNTIFS(References!$C$2:$C$68,Results!$A$41,References!$D$2:$D$68,Results!$A47,References!$E$2:$E$68,Results!F$1)</f>
        <v>0</v>
      </c>
      <c r="G47" s="9">
        <f>COUNTIFS(References!$C$2:$C$68,Results!$A$41,References!$D$2:$D$68,Results!$A47,References!$E$2:$E$68,Results!G$1)</f>
        <v>1</v>
      </c>
      <c r="H47" s="12" t="s">
        <v>99</v>
      </c>
      <c r="I47">
        <f>SUM(B42:G47)</f>
        <v>10</v>
      </c>
    </row>
    <row r="49" spans="1:12" x14ac:dyDescent="0.35">
      <c r="A49" s="10" t="s">
        <v>66</v>
      </c>
      <c r="B49" s="10" t="s">
        <v>72</v>
      </c>
      <c r="C49" s="10" t="s">
        <v>73</v>
      </c>
      <c r="D49" s="10" t="s">
        <v>74</v>
      </c>
      <c r="E49" s="10" t="s">
        <v>81</v>
      </c>
      <c r="F49" s="10" t="s">
        <v>75</v>
      </c>
      <c r="G49" s="10" t="s">
        <v>76</v>
      </c>
      <c r="K49" s="11" t="s">
        <v>88</v>
      </c>
      <c r="L49" s="11">
        <f>PI()*(0.2/2)^2</f>
        <v>3.1415926535897934E-2</v>
      </c>
    </row>
    <row r="50" spans="1:12" x14ac:dyDescent="0.35">
      <c r="A50" s="10" t="s">
        <v>70</v>
      </c>
      <c r="B50" s="9">
        <f>COUNTIFS(References!$C$2:$C$68,Results!$A$49,References!$D$2:$D$68,Results!$A50,References!$E$2:$E$68,Results!B$1)</f>
        <v>0</v>
      </c>
      <c r="C50" s="9">
        <f>COUNTIFS(References!$C$2:$C$68,Results!$A$49,References!$D$2:$D$68,Results!$A50,References!$E$2:$E$68,Results!C$1)</f>
        <v>0</v>
      </c>
      <c r="D50" s="9">
        <f>COUNTIFS(References!$C$2:$C$68,Results!$A$49,References!$D$2:$D$68,Results!$A50,References!$E$2:$E$68,Results!D$1)</f>
        <v>0</v>
      </c>
      <c r="E50" s="9">
        <f>COUNTIFS(References!$C$2:$C$68,Results!$A$49,References!$D$2:$D$68,Results!$A50,References!$E$2:$E$68,Results!E$1)</f>
        <v>0</v>
      </c>
      <c r="F50" s="9">
        <f>COUNTIFS(References!$C$2:$C$68,Results!$A$49,References!$D$2:$D$68,Results!$A50,References!$E$2:$E$68,Results!F$1)</f>
        <v>0</v>
      </c>
      <c r="G50" s="9">
        <f>COUNTIFS(References!$C$2:$C$68,Results!$A$49,References!$D$2:$D$68,Results!$A50,References!$E$2:$E$68,Results!G$1)</f>
        <v>0</v>
      </c>
      <c r="K50" t="s">
        <v>89</v>
      </c>
      <c r="L50">
        <f>SQRT($L$1/PI()/10)*2</f>
        <v>6.3245553203367583E-2</v>
      </c>
    </row>
    <row r="51" spans="1:12" x14ac:dyDescent="0.35">
      <c r="A51" s="10" t="s">
        <v>69</v>
      </c>
      <c r="B51" s="9">
        <f>COUNTIFS(References!$C$2:$C$68,Results!$A$49,References!$D$2:$D$68,Results!$A51,References!$E$2:$E$68,Results!B$1)</f>
        <v>0</v>
      </c>
      <c r="C51" s="9">
        <f>COUNTIFS(References!$C$2:$C$68,Results!$A$49,References!$D$2:$D$68,Results!$A51,References!$E$2:$E$68,Results!C$1)</f>
        <v>2</v>
      </c>
      <c r="D51" s="9">
        <f>COUNTIFS(References!$C$2:$C$68,Results!$A$49,References!$D$2:$D$68,Results!$A51,References!$E$2:$E$68,Results!D$1)</f>
        <v>0</v>
      </c>
      <c r="E51" s="9">
        <f>COUNTIFS(References!$C$2:$C$68,Results!$A$49,References!$D$2:$D$68,Results!$A51,References!$E$2:$E$68,Results!E$1)</f>
        <v>0</v>
      </c>
      <c r="F51" s="9">
        <f>COUNTIFS(References!$C$2:$C$68,Results!$A$49,References!$D$2:$D$68,Results!$A51,References!$E$2:$E$68,Results!F$1)</f>
        <v>0</v>
      </c>
      <c r="G51" s="9">
        <f>COUNTIFS(References!$C$2:$C$68,Results!$A$49,References!$D$2:$D$68,Results!$A51,References!$E$2:$E$68,Results!G$1)</f>
        <v>0</v>
      </c>
      <c r="K51" t="s">
        <v>90</v>
      </c>
      <c r="L51">
        <f>SQRT($L$1/PI()/9)*2</f>
        <v>6.6666666666666666E-2</v>
      </c>
    </row>
    <row r="52" spans="1:12" x14ac:dyDescent="0.35">
      <c r="A52" s="10" t="s">
        <v>79</v>
      </c>
      <c r="B52" s="9">
        <f>COUNTIFS(References!$C$2:$C$68,Results!$A$49,References!$D$2:$D$68,Results!$A52,References!$E$2:$E$68,Results!B$1)</f>
        <v>0</v>
      </c>
      <c r="C52" s="9">
        <f>COUNTIFS(References!$C$2:$C$68,Results!$A$49,References!$D$2:$D$68,Results!$A52,References!$E$2:$E$68,Results!C$1)</f>
        <v>0</v>
      </c>
      <c r="D52" s="9">
        <f>COUNTIFS(References!$C$2:$C$68,Results!$A$49,References!$D$2:$D$68,Results!$A52,References!$E$2:$E$68,Results!D$1)</f>
        <v>0</v>
      </c>
      <c r="E52" s="9">
        <f>COUNTIFS(References!$C$2:$C$68,Results!$A$49,References!$D$2:$D$68,Results!$A52,References!$E$2:$E$68,Results!E$1)</f>
        <v>0</v>
      </c>
      <c r="F52" s="9">
        <f>COUNTIFS(References!$C$2:$C$68,Results!$A$49,References!$D$2:$D$68,Results!$A52,References!$E$2:$E$68,Results!F$1)</f>
        <v>0</v>
      </c>
      <c r="G52" s="9">
        <f>COUNTIFS(References!$C$2:$C$68,Results!$A$49,References!$D$2:$D$68,Results!$A52,References!$E$2:$E$68,Results!G$1)</f>
        <v>0</v>
      </c>
      <c r="K52" t="s">
        <v>91</v>
      </c>
      <c r="L52">
        <f>SQRT($L$1/PI()/8)*2</f>
        <v>7.0710678118654752E-2</v>
      </c>
    </row>
    <row r="53" spans="1:12" x14ac:dyDescent="0.35">
      <c r="A53" s="10" t="s">
        <v>68</v>
      </c>
      <c r="B53" s="9">
        <f>COUNTIFS(References!$C$2:$C$68,Results!$A$49,References!$D$2:$D$68,Results!$A53,References!$E$2:$E$68,Results!B$1)</f>
        <v>0</v>
      </c>
      <c r="C53" s="9">
        <f>COUNTIFS(References!$C$2:$C$68,Results!$A$49,References!$D$2:$D$68,Results!$A53,References!$E$2:$E$68,Results!C$1)</f>
        <v>0</v>
      </c>
      <c r="D53" s="9">
        <f>COUNTIFS(References!$C$2:$C$68,Results!$A$49,References!$D$2:$D$68,Results!$A53,References!$E$2:$E$68,Results!D$1)</f>
        <v>0</v>
      </c>
      <c r="E53" s="9">
        <f>COUNTIFS(References!$C$2:$C$68,Results!$A$49,References!$D$2:$D$68,Results!$A53,References!$E$2:$E$68,Results!E$1)</f>
        <v>0</v>
      </c>
      <c r="F53" s="9">
        <f>COUNTIFS(References!$C$2:$C$68,Results!$A$49,References!$D$2:$D$68,Results!$A53,References!$E$2:$E$68,Results!F$1)</f>
        <v>0</v>
      </c>
      <c r="G53" s="9">
        <f>COUNTIFS(References!$C$2:$C$68,Results!$A$49,References!$D$2:$D$68,Results!$A53,References!$E$2:$E$68,Results!G$1)</f>
        <v>0</v>
      </c>
      <c r="K53" t="s">
        <v>92</v>
      </c>
      <c r="L53">
        <f>SQRT($L$1/PI()/7)*2</f>
        <v>7.5592894601845442E-2</v>
      </c>
    </row>
    <row r="54" spans="1:12" x14ac:dyDescent="0.35">
      <c r="A54" s="10" t="s">
        <v>67</v>
      </c>
      <c r="B54" s="9">
        <f>COUNTIFS(References!$C$2:$C$68,Results!$A$49,References!$D$2:$D$68,Results!$A54,References!$E$2:$E$68,Results!B$1)</f>
        <v>0</v>
      </c>
      <c r="C54" s="9">
        <f>COUNTIFS(References!$C$2:$C$68,Results!$A$49,References!$D$2:$D$68,Results!$A54,References!$E$2:$E$68,Results!C$1)</f>
        <v>0</v>
      </c>
      <c r="D54" s="9">
        <f>COUNTIFS(References!$C$2:$C$68,Results!$A$49,References!$D$2:$D$68,Results!$A54,References!$E$2:$E$68,Results!D$1)</f>
        <v>1</v>
      </c>
      <c r="E54" s="9">
        <f>COUNTIFS(References!$C$2:$C$68,Results!$A$49,References!$D$2:$D$68,Results!$A54,References!$E$2:$E$68,Results!E$1)</f>
        <v>0</v>
      </c>
      <c r="F54" s="9">
        <f>COUNTIFS(References!$C$2:$C$68,Results!$A$49,References!$D$2:$D$68,Results!$A54,References!$E$2:$E$68,Results!F$1)</f>
        <v>0</v>
      </c>
      <c r="G54" s="9">
        <f>COUNTIFS(References!$C$2:$C$68,Results!$A$49,References!$D$2:$D$68,Results!$A54,References!$E$2:$E$68,Results!G$1)</f>
        <v>0</v>
      </c>
      <c r="K54" t="s">
        <v>93</v>
      </c>
      <c r="L54">
        <f>SQRT($L$1/PI()/6)*2</f>
        <v>8.1649658092772609E-2</v>
      </c>
    </row>
    <row r="55" spans="1:12" x14ac:dyDescent="0.35">
      <c r="A55" s="10" t="s">
        <v>80</v>
      </c>
      <c r="B55" s="9">
        <f>COUNTIFS(References!$C$2:$C$68,Results!$A$49,References!$D$2:$D$68,Results!$A55,References!$E$2:$E$68,Results!B$1)</f>
        <v>0</v>
      </c>
      <c r="C55" s="9">
        <f>COUNTIFS(References!$C$2:$C$68,Results!$A$49,References!$D$2:$D$68,Results!$A55,References!$E$2:$E$68,Results!C$1)</f>
        <v>0</v>
      </c>
      <c r="D55" s="9">
        <f>COUNTIFS(References!$C$2:$C$68,Results!$A$49,References!$D$2:$D$68,Results!$A55,References!$E$2:$E$68,Results!D$1)</f>
        <v>0</v>
      </c>
      <c r="E55" s="9">
        <f>COUNTIFS(References!$C$2:$C$68,Results!$A$49,References!$D$2:$D$68,Results!$A55,References!$E$2:$E$68,Results!E$1)</f>
        <v>0</v>
      </c>
      <c r="F55" s="9">
        <f>COUNTIFS(References!$C$2:$C$68,Results!$A$49,References!$D$2:$D$68,Results!$A55,References!$E$2:$E$68,Results!F$1)</f>
        <v>1</v>
      </c>
      <c r="G55" s="9">
        <f>COUNTIFS(References!$C$2:$C$68,Results!$A$49,References!$D$2:$D$68,Results!$A55,References!$E$2:$E$68,Results!G$1)</f>
        <v>0</v>
      </c>
      <c r="H55" s="12" t="s">
        <v>99</v>
      </c>
      <c r="I55">
        <f>SUM(B50:G55)</f>
        <v>4</v>
      </c>
      <c r="K55" t="s">
        <v>94</v>
      </c>
      <c r="L55">
        <f>SQRT($L$1/PI()/5)*2</f>
        <v>8.9442719099991588E-2</v>
      </c>
    </row>
    <row r="56" spans="1:12" x14ac:dyDescent="0.35">
      <c r="K56" t="s">
        <v>95</v>
      </c>
      <c r="L56">
        <f>SQRT($L$1/PI()/4)*2</f>
        <v>0.1</v>
      </c>
    </row>
    <row r="57" spans="1:12" x14ac:dyDescent="0.35">
      <c r="A57" s="10" t="s">
        <v>87</v>
      </c>
      <c r="B57" s="10" t="s">
        <v>72</v>
      </c>
      <c r="C57" s="10" t="s">
        <v>73</v>
      </c>
      <c r="D57" s="10" t="s">
        <v>74</v>
      </c>
      <c r="E57" s="10" t="s">
        <v>81</v>
      </c>
      <c r="F57" s="10" t="s">
        <v>75</v>
      </c>
      <c r="G57" s="10" t="s">
        <v>76</v>
      </c>
      <c r="K57" t="s">
        <v>96</v>
      </c>
      <c r="L57">
        <f>SQRT($L$1/PI()/3)*2</f>
        <v>0.11547005383792516</v>
      </c>
    </row>
    <row r="58" spans="1:12" x14ac:dyDescent="0.35">
      <c r="A58" s="10" t="s">
        <v>70</v>
      </c>
      <c r="B58" s="9">
        <f>COUNTIFS(References!$C$2:$C$68,Results!$A$57,References!$D$2:$D$68,Results!$A58,References!$E$2:$E$68,Results!B$1)</f>
        <v>0</v>
      </c>
      <c r="C58" s="9">
        <f>COUNTIFS(References!$C$2:$C$68,Results!$A$57,References!$D$2:$D$68,Results!$A58,References!$E$2:$E$68,Results!C$1)</f>
        <v>0</v>
      </c>
      <c r="D58" s="9">
        <f>COUNTIFS(References!$C$2:$C$68,Results!$A$57,References!$D$2:$D$68,Results!$A58,References!$E$2:$E$68,Results!D$1)</f>
        <v>0</v>
      </c>
      <c r="E58" s="9">
        <f>COUNTIFS(References!$C$2:$C$68,Results!$A$57,References!$D$2:$D$68,Results!$A58,References!$E$2:$E$68,Results!E$1)</f>
        <v>0</v>
      </c>
      <c r="F58" s="9">
        <f>COUNTIFS(References!$C$2:$C$68,Results!$A$57,References!$D$2:$D$68,Results!$A58,References!$E$2:$E$68,Results!F$1)</f>
        <v>0</v>
      </c>
      <c r="G58" s="9">
        <f>COUNTIFS(References!$C$2:$C$68,Results!$A$57,References!$D$2:$D$68,Results!$A58,References!$E$2:$E$68,Results!G$1)</f>
        <v>0</v>
      </c>
      <c r="K58" t="s">
        <v>97</v>
      </c>
      <c r="L58">
        <f>SQRT($L$1/PI()/2)*2</f>
        <v>0.1414213562373095</v>
      </c>
    </row>
    <row r="59" spans="1:12" x14ac:dyDescent="0.35">
      <c r="A59" s="10" t="s">
        <v>69</v>
      </c>
      <c r="B59" s="9">
        <f>COUNTIFS(References!$C$2:$C$68,Results!$A$57,References!$D$2:$D$68,Results!$A59,References!$E$2:$E$68,Results!B$1)</f>
        <v>0</v>
      </c>
      <c r="C59" s="9">
        <f>COUNTIFS(References!$C$2:$C$68,Results!$A$57,References!$D$2:$D$68,Results!$A59,References!$E$2:$E$68,Results!C$1)</f>
        <v>0</v>
      </c>
      <c r="D59" s="9">
        <f>COUNTIFS(References!$C$2:$C$68,Results!$A$57,References!$D$2:$D$68,Results!$A59,References!$E$2:$E$68,Results!D$1)</f>
        <v>0</v>
      </c>
      <c r="E59" s="9">
        <f>COUNTIFS(References!$C$2:$C$68,Results!$A$57,References!$D$2:$D$68,Results!$A59,References!$E$2:$E$68,Results!E$1)</f>
        <v>0</v>
      </c>
      <c r="F59" s="9">
        <f>COUNTIFS(References!$C$2:$C$68,Results!$A$57,References!$D$2:$D$68,Results!$A59,References!$E$2:$E$68,Results!F$1)</f>
        <v>0</v>
      </c>
      <c r="G59" s="9">
        <f>COUNTIFS(References!$C$2:$C$68,Results!$A$57,References!$D$2:$D$68,Results!$A59,References!$E$2:$E$68,Results!G$1)</f>
        <v>0</v>
      </c>
      <c r="K59" t="s">
        <v>98</v>
      </c>
      <c r="L59">
        <f>SQRT($L$1/PI()/1)*2</f>
        <v>0.2</v>
      </c>
    </row>
    <row r="60" spans="1:12" x14ac:dyDescent="0.35">
      <c r="A60" s="10" t="s">
        <v>79</v>
      </c>
      <c r="B60" s="9">
        <f>COUNTIFS(References!$C$2:$C$68,Results!$A$57,References!$D$2:$D$68,Results!$A60,References!$E$2:$E$68,Results!B$1)</f>
        <v>0</v>
      </c>
      <c r="C60" s="9">
        <f>COUNTIFS(References!$C$2:$C$68,Results!$A$57,References!$D$2:$D$68,Results!$A60,References!$E$2:$E$68,Results!C$1)</f>
        <v>0</v>
      </c>
      <c r="D60" s="9">
        <f>COUNTIFS(References!$C$2:$C$68,Results!$A$57,References!$D$2:$D$68,Results!$A60,References!$E$2:$E$68,Results!D$1)</f>
        <v>0</v>
      </c>
      <c r="E60" s="9">
        <f>COUNTIFS(References!$C$2:$C$68,Results!$A$57,References!$D$2:$D$68,Results!$A60,References!$E$2:$E$68,Results!E$1)</f>
        <v>0</v>
      </c>
      <c r="F60" s="9">
        <f>COUNTIFS(References!$C$2:$C$68,Results!$A$57,References!$D$2:$D$68,Results!$A60,References!$E$2:$E$68,Results!F$1)</f>
        <v>0</v>
      </c>
      <c r="G60" s="9">
        <f>COUNTIFS(References!$C$2:$C$68,Results!$A$57,References!$D$2:$D$68,Results!$A60,References!$E$2:$E$68,Results!G$1)</f>
        <v>2</v>
      </c>
    </row>
    <row r="61" spans="1:12" x14ac:dyDescent="0.35">
      <c r="A61" s="10" t="s">
        <v>68</v>
      </c>
      <c r="B61" s="9">
        <f>COUNTIFS(References!$C$2:$C$68,Results!$A$57,References!$D$2:$D$68,Results!$A61,References!$E$2:$E$68,Results!B$1)</f>
        <v>0</v>
      </c>
      <c r="C61" s="9">
        <f>COUNTIFS(References!$C$2:$C$68,Results!$A$57,References!$D$2:$D$68,Results!$A61,References!$E$2:$E$68,Results!C$1)</f>
        <v>0</v>
      </c>
      <c r="D61" s="9">
        <f>COUNTIFS(References!$C$2:$C$68,Results!$A$57,References!$D$2:$D$68,Results!$A61,References!$E$2:$E$68,Results!D$1)</f>
        <v>0</v>
      </c>
      <c r="E61" s="9">
        <f>COUNTIFS(References!$C$2:$C$68,Results!$A$57,References!$D$2:$D$68,Results!$A61,References!$E$2:$E$68,Results!E$1)</f>
        <v>0</v>
      </c>
      <c r="F61" s="9">
        <f>COUNTIFS(References!$C$2:$C$68,Results!$A$57,References!$D$2:$D$68,Results!$A61,References!$E$2:$E$68,Results!F$1)</f>
        <v>0</v>
      </c>
      <c r="G61" s="9">
        <f>COUNTIFS(References!$C$2:$C$68,Results!$A$57,References!$D$2:$D$68,Results!$A61,References!$E$2:$E$68,Results!G$1)</f>
        <v>0</v>
      </c>
    </row>
    <row r="62" spans="1:12" x14ac:dyDescent="0.35">
      <c r="A62" s="10" t="s">
        <v>67</v>
      </c>
      <c r="B62" s="9">
        <f>COUNTIFS(References!$C$2:$C$68,Results!$A$57,References!$D$2:$D$68,Results!$A62,References!$E$2:$E$68,Results!B$1)</f>
        <v>0</v>
      </c>
      <c r="C62" s="9">
        <f>COUNTIFS(References!$C$2:$C$68,Results!$A$57,References!$D$2:$D$68,Results!$A62,References!$E$2:$E$68,Results!C$1)</f>
        <v>0</v>
      </c>
      <c r="D62" s="9">
        <f>COUNTIFS(References!$C$2:$C$68,Results!$A$57,References!$D$2:$D$68,Results!$A62,References!$E$2:$E$68,Results!D$1)</f>
        <v>0</v>
      </c>
      <c r="E62" s="9">
        <f>COUNTIFS(References!$C$2:$C$68,Results!$A$57,References!$D$2:$D$68,Results!$A62,References!$E$2:$E$68,Results!E$1)</f>
        <v>0</v>
      </c>
      <c r="F62" s="9">
        <f>COUNTIFS(References!$C$2:$C$68,Results!$A$57,References!$D$2:$D$68,Results!$A62,References!$E$2:$E$68,Results!F$1)</f>
        <v>0</v>
      </c>
      <c r="G62" s="9">
        <f>COUNTIFS(References!$C$2:$C$68,Results!$A$57,References!$D$2:$D$68,Results!$A62,References!$E$2:$E$68,Results!G$1)</f>
        <v>0</v>
      </c>
    </row>
    <row r="63" spans="1:12" x14ac:dyDescent="0.35">
      <c r="A63" s="10" t="s">
        <v>80</v>
      </c>
      <c r="B63" s="9">
        <f>COUNTIFS(References!$C$2:$C$68,Results!$A$57,References!$D$2:$D$68,Results!$A63,References!$E$2:$E$68,Results!B$1)</f>
        <v>0</v>
      </c>
      <c r="C63" s="9">
        <f>COUNTIFS(References!$C$2:$C$68,Results!$A$57,References!$D$2:$D$68,Results!$A63,References!$E$2:$E$68,Results!C$1)</f>
        <v>0</v>
      </c>
      <c r="D63" s="9">
        <f>COUNTIFS(References!$C$2:$C$68,Results!$A$57,References!$D$2:$D$68,Results!$A63,References!$E$2:$E$68,Results!D$1)</f>
        <v>0</v>
      </c>
      <c r="E63" s="9">
        <f>COUNTIFS(References!$C$2:$C$68,Results!$A$57,References!$D$2:$D$68,Results!$A63,References!$E$2:$E$68,Results!E$1)</f>
        <v>0</v>
      </c>
      <c r="F63" s="9">
        <f>COUNTIFS(References!$C$2:$C$68,Results!$A$57,References!$D$2:$D$68,Results!$A63,References!$E$2:$E$68,Results!F$1)</f>
        <v>0</v>
      </c>
      <c r="G63" s="9">
        <f>COUNTIFS(References!$C$2:$C$68,Results!$A$57,References!$D$2:$D$68,Results!$A63,References!$E$2:$E$68,Results!G$1)</f>
        <v>0</v>
      </c>
      <c r="H63" s="12" t="s">
        <v>99</v>
      </c>
      <c r="I63">
        <f>SUM(B58:G63)</f>
        <v>2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598E0-E449-41F9-961C-32397F2D421D}">
  <dimension ref="A1:C9"/>
  <sheetViews>
    <sheetView zoomScale="145" zoomScaleNormal="145" workbookViewId="0">
      <selection activeCell="A9" sqref="A9"/>
    </sheetView>
  </sheetViews>
  <sheetFormatPr defaultRowHeight="14" x14ac:dyDescent="0.3"/>
  <cols>
    <col min="1" max="1" width="21.6328125" style="3" bestFit="1" customWidth="1"/>
    <col min="2" max="2" width="22.1796875" style="3" bestFit="1" customWidth="1"/>
    <col min="3" max="3" width="25.6328125" style="3" bestFit="1" customWidth="1"/>
    <col min="4" max="16384" width="8.7265625" style="3"/>
  </cols>
  <sheetData>
    <row r="1" spans="1:3" x14ac:dyDescent="0.3">
      <c r="A1" s="5" t="s">
        <v>60</v>
      </c>
      <c r="B1" s="5" t="s">
        <v>59</v>
      </c>
      <c r="C1" s="5" t="s">
        <v>71</v>
      </c>
    </row>
    <row r="2" spans="1:3" x14ac:dyDescent="0.3">
      <c r="A2" s="3" t="s">
        <v>78</v>
      </c>
      <c r="B2" s="3" t="s">
        <v>80</v>
      </c>
      <c r="C2" s="3" t="s">
        <v>72</v>
      </c>
    </row>
    <row r="3" spans="1:3" x14ac:dyDescent="0.3">
      <c r="A3" s="3" t="s">
        <v>61</v>
      </c>
      <c r="B3" s="3" t="s">
        <v>67</v>
      </c>
      <c r="C3" s="3" t="s">
        <v>73</v>
      </c>
    </row>
    <row r="4" spans="1:3" x14ac:dyDescent="0.3">
      <c r="A4" s="3" t="s">
        <v>62</v>
      </c>
      <c r="B4" s="3" t="s">
        <v>68</v>
      </c>
      <c r="C4" s="3" t="s">
        <v>74</v>
      </c>
    </row>
    <row r="5" spans="1:3" x14ac:dyDescent="0.3">
      <c r="A5" s="3" t="s">
        <v>63</v>
      </c>
      <c r="B5" s="3" t="s">
        <v>79</v>
      </c>
      <c r="C5" s="3" t="s">
        <v>81</v>
      </c>
    </row>
    <row r="6" spans="1:3" x14ac:dyDescent="0.3">
      <c r="A6" s="3" t="s">
        <v>64</v>
      </c>
      <c r="B6" s="3" t="s">
        <v>69</v>
      </c>
      <c r="C6" s="3" t="s">
        <v>75</v>
      </c>
    </row>
    <row r="7" spans="1:3" x14ac:dyDescent="0.3">
      <c r="A7" s="3" t="s">
        <v>65</v>
      </c>
      <c r="B7" s="3" t="s">
        <v>70</v>
      </c>
      <c r="C7" s="3" t="s">
        <v>76</v>
      </c>
    </row>
    <row r="8" spans="1:3" x14ac:dyDescent="0.3">
      <c r="A8" s="3" t="s">
        <v>66</v>
      </c>
      <c r="B8" s="3" t="s">
        <v>69</v>
      </c>
    </row>
    <row r="9" spans="1:3" x14ac:dyDescent="0.3">
      <c r="A9" s="3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Results</vt:lpstr>
      <vt:lpstr>Categories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</dc:creator>
  <cp:lastModifiedBy>TU-Pseudonym 7504255944999905</cp:lastModifiedBy>
  <dcterms:created xsi:type="dcterms:W3CDTF">2015-06-05T18:19:34Z</dcterms:created>
  <dcterms:modified xsi:type="dcterms:W3CDTF">2025-12-23T07:24:40Z</dcterms:modified>
</cp:coreProperties>
</file>